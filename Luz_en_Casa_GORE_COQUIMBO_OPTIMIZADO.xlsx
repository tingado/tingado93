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790" firstSheet="0" activeTab="2" autoFilterDateGrouping="1"/>
  </bookViews>
  <sheets>
    <sheet name="GORE" sheetId="1" state="visible" r:id="rId1"/>
    <sheet name="Valorización Componentes" sheetId="2" state="visible" r:id="rId2"/>
    <sheet name="Carátula" sheetId="3" state="visible" r:id="rId3"/>
    <sheet name="General GORE" sheetId="4" state="visible" r:id="rId4"/>
    <sheet name="AUMENTO MONTO" sheetId="5" state="visible" r:id="rId5"/>
    <sheet name="Flujo Bruto" sheetId="6" state="visible" r:id="rId6"/>
    <sheet name="Antecedentes Programa" sheetId="7" state="hidden" r:id="rId7"/>
    <sheet name="Flujo Neto" sheetId="8" state="visible" r:id="rId8"/>
    <sheet name="Guía Maestra" sheetId="9" state="visible" r:id="rId9"/>
    <sheet name="Supuestos" sheetId="10" state="visible" r:id="rId10"/>
    <sheet name="Diagnóstico Vínculos" sheetId="11" state="visible" r:id="rId11"/>
    <sheet name="Carta Gantt" sheetId="12" state="visible" r:id="rId12"/>
    <sheet name="Analitica" sheetId="13" state="visible" r:id="rId13"/>
    <sheet name="Tabla Calculo Sueldo" sheetId="14" state="visible" r:id="rId14"/>
    <sheet name="Rendición GORE" sheetId="15" state="visible" r:id="rId15"/>
    <sheet name="Planilla SISREC" sheetId="16" state="visible" r:id="rId16"/>
    <sheet name="Cashflow" sheetId="17" state="visible" r:id="rId17"/>
  </sheets>
  <definedNames/>
  <calcPr calcId="191028" fullCalcOnLoad="1" iterateDelta="0.0001"/>
</workbook>
</file>

<file path=xl/styles.xml><?xml version="1.0" encoding="utf-8"?>
<styleSheet xmlns="http://schemas.openxmlformats.org/spreadsheetml/2006/main">
  <numFmts count="17">
    <numFmt numFmtId="164" formatCode="_ \$* #,##0_ ;_ \$* \-#,##0_ ;_ \$* \-_ ;_ @_ "/>
    <numFmt numFmtId="165" formatCode="_ [$USD]\ * #,##0.00_ ;_ [$USD]\ * \-#,##0.00_ ;_ [$USD]\ * \-??_ ;_ @_ "/>
    <numFmt numFmtId="166" formatCode="_ * #,##0_ ;_ * \-#,##0_ ;_ * \-_ ;_ @_ "/>
    <numFmt numFmtId="167" formatCode="0.0;\-0.0;\-"/>
    <numFmt numFmtId="168" formatCode="#,##0_);[Red]\(#,##0\)"/>
    <numFmt numFmtId="169" formatCode="\$#,##0"/>
    <numFmt numFmtId="170" formatCode="0.0%"/>
    <numFmt numFmtId="171" formatCode="m/d/yyyy"/>
    <numFmt numFmtId="172" formatCode="#,##0.00_ ;[Red]\-#,##0.00\ "/>
    <numFmt numFmtId="173" formatCode="#,##0_ ;[Red]\-#,##0\ "/>
    <numFmt numFmtId="174" formatCode="#,##0.00%\ ;&quot; -&quot;#,##0.00%\ ;&quot; -- &quot;"/>
    <numFmt numFmtId="175" formatCode="#,##0;\(#,##0\);&quot;-&quot;"/>
    <numFmt numFmtId="176" formatCode="_-&quot;$&quot;* #,##0_-;\-&quot;$&quot;* #,##0_-;_-&quot;$&quot;* &quot;-&quot;_-;_-@_-"/>
    <numFmt numFmtId="177" formatCode="_(* #,##0_);_(* \(#,##0\);_(* \-_);_(@_)"/>
    <numFmt numFmtId="178" formatCode="_(\$* #,##0_);_(\$* \(#,##0\);_(\$* \-_);_(@_)"/>
    <numFmt numFmtId="179" formatCode="$#,##0"/>
    <numFmt numFmtId="180" formatCode="mmm yyyy"/>
  </numFmts>
  <fonts count="152">
    <font>
      <name val="Calibri"/>
      <charset val="1"/>
      <family val="2"/>
      <color theme="1"/>
      <sz val="11"/>
    </font>
    <font>
      <name val="Arial"/>
      <charset val="1"/>
      <family val="2"/>
      <sz val="10"/>
    </font>
    <font>
      <name val="Arial Narrow"/>
      <charset val="1"/>
      <family val="2"/>
      <color rgb="FF000000"/>
      <sz val="9"/>
    </font>
    <font>
      <name val="Aptos"/>
      <family val="2"/>
      <b val="1"/>
      <color rgb="FFFFFFFF"/>
      <sz val="16"/>
    </font>
    <font>
      <name val="Aptos"/>
      <family val="2"/>
      <i val="1"/>
      <color rgb="FFD6E4F0"/>
      <sz val="9"/>
    </font>
    <font>
      <name val="Aptos"/>
      <family val="2"/>
      <b val="1"/>
      <color rgb="FF1F4E79"/>
      <sz val="9"/>
    </font>
    <font>
      <name val="Aptos"/>
      <family val="2"/>
      <color rgb="FF1A1A1A"/>
      <sz val="9"/>
    </font>
    <font>
      <name val="Aptos"/>
      <family val="2"/>
      <b val="1"/>
      <color rgb="FFFFFFFF"/>
      <sz val="9"/>
    </font>
    <font>
      <name val="Aptos"/>
      <family val="2"/>
      <b val="1"/>
      <color rgb="FFFFFFFF"/>
      <sz val="8"/>
    </font>
    <font>
      <name val="Aptos"/>
      <family val="2"/>
      <b val="1"/>
      <color rgb="FF375623"/>
      <sz val="8"/>
    </font>
    <font>
      <name val="Aptos"/>
      <family val="2"/>
      <color rgb="FF2D2D2D"/>
      <sz val="9"/>
    </font>
    <font>
      <name val="Aptos"/>
      <family val="2"/>
      <i val="1"/>
      <color rgb="FF595959"/>
      <sz val="8"/>
    </font>
    <font>
      <name val="Aptos"/>
      <family val="2"/>
      <b val="1"/>
      <color rgb="FF2E75B6"/>
      <sz val="8"/>
    </font>
    <font>
      <name val="Aptos"/>
      <family val="2"/>
      <b val="1"/>
      <color rgb="FF7030A0"/>
      <sz val="8"/>
    </font>
    <font>
      <name val="Aptos"/>
      <family val="2"/>
      <b val="1"/>
      <color rgb="FFC55A11"/>
      <sz val="8"/>
    </font>
    <font>
      <name val="Aptos"/>
      <family val="2"/>
      <b val="1"/>
      <color rgb="FF595959"/>
      <sz val="8"/>
    </font>
    <font>
      <name val="Aptos"/>
      <family val="2"/>
      <b val="1"/>
      <color rgb="FFC00000"/>
      <sz val="8"/>
    </font>
    <font>
      <name val="Aptos"/>
      <family val="2"/>
      <b val="1"/>
      <color rgb="FF2E75B6"/>
      <sz val="9"/>
    </font>
    <font>
      <name val="Aptos"/>
      <family val="2"/>
      <i val="1"/>
      <color rgb="FFAAAAAA"/>
      <sz val="9"/>
    </font>
    <font>
      <name val="Aptos"/>
      <family val="2"/>
      <i val="1"/>
      <color rgb="FFFFFFFF"/>
      <sz val="8"/>
    </font>
    <font>
      <name val="Aptos"/>
      <charset val="1"/>
      <family val="2"/>
      <color theme="1"/>
      <sz val="8"/>
    </font>
    <font>
      <name val="Aptos"/>
      <charset val="1"/>
      <family val="2"/>
      <color theme="1"/>
      <sz val="6"/>
    </font>
    <font>
      <name val="Aptos"/>
      <charset val="1"/>
      <family val="2"/>
      <i val="1"/>
      <color theme="1"/>
      <sz val="8"/>
    </font>
    <font>
      <name val="Aptos"/>
      <charset val="1"/>
      <family val="2"/>
      <b val="1"/>
      <color theme="1"/>
      <sz val="6"/>
    </font>
    <font>
      <name val="Aptos"/>
      <charset val="1"/>
      <family val="2"/>
      <b val="1"/>
      <color theme="1"/>
      <sz val="8"/>
    </font>
    <font>
      <name val="Aptos"/>
      <charset val="1"/>
      <family val="2"/>
      <b val="1"/>
      <color rgb="FFFFFFFF"/>
      <sz val="9"/>
    </font>
    <font>
      <name val="Aptos"/>
      <charset val="1"/>
      <family val="2"/>
      <b val="1"/>
      <color rgb="FF1A5276"/>
      <sz val="9"/>
    </font>
    <font>
      <name val="Aptos"/>
      <charset val="1"/>
      <family val="2"/>
      <b val="1"/>
      <color rgb="FF7F3F00"/>
      <sz val="9"/>
    </font>
    <font>
      <name val="Aptos"/>
      <charset val="1"/>
      <family val="2"/>
      <color rgb="FF1A5276"/>
      <sz val="9"/>
    </font>
    <font>
      <name val="Aptos"/>
      <charset val="1"/>
      <family val="2"/>
      <color rgb="FF7F3F00"/>
      <sz val="9"/>
    </font>
    <font>
      <name val="Aptos"/>
      <charset val="1"/>
      <family val="2"/>
      <color rgb="FFFF0000"/>
      <sz val="8"/>
    </font>
    <font>
      <name val="Aptos"/>
      <charset val="1"/>
      <family val="2"/>
      <color rgb="FFFF0000"/>
      <sz val="6"/>
    </font>
    <font>
      <name val="Aptos"/>
      <charset val="1"/>
      <family val="2"/>
      <b val="1"/>
      <color rgb="FFFF0000"/>
      <sz val="8"/>
    </font>
    <font>
      <name val="Calibri"/>
      <charset val="1"/>
      <family val="2"/>
      <b val="1"/>
      <color theme="1"/>
      <sz val="10"/>
    </font>
    <font>
      <name val="Aptos"/>
      <charset val="1"/>
      <family val="2"/>
      <b val="1"/>
      <color theme="1"/>
      <sz val="10"/>
    </font>
    <font>
      <name val="Aptos"/>
      <charset val="1"/>
      <family val="2"/>
      <color theme="8"/>
      <sz val="8"/>
    </font>
    <font>
      <name val="Aptos"/>
      <charset val="1"/>
      <family val="2"/>
      <b val="1"/>
      <color rgb="FF7030A0"/>
      <sz val="8"/>
    </font>
    <font>
      <name val="Aptos"/>
      <charset val="1"/>
      <family val="2"/>
      <color theme="1"/>
      <sz val="9"/>
    </font>
    <font>
      <name val="Aptos"/>
      <family val="2"/>
      <b val="1"/>
      <color rgb="FFFFFFFF"/>
      <sz val="13"/>
    </font>
    <font>
      <name val="Aptos"/>
      <family val="2"/>
      <i val="1"/>
      <color rgb="FFFFFFFF"/>
      <sz val="9"/>
    </font>
    <font>
      <name val="Aptos"/>
      <family val="2"/>
      <b val="1"/>
      <color rgb="FFFFFFFF"/>
      <sz val="10"/>
    </font>
    <font>
      <name val="Aptos"/>
      <family val="2"/>
      <color rgb="FF000000"/>
      <sz val="10"/>
    </font>
    <font>
      <name val="Aptos"/>
      <family val="2"/>
      <color rgb="FF000000"/>
      <sz val="9"/>
    </font>
    <font>
      <name val="Aptos"/>
      <family val="2"/>
      <i val="1"/>
      <color rgb="FF444444"/>
      <sz val="8"/>
    </font>
    <font>
      <name val="Aptos"/>
      <family val="2"/>
      <i val="1"/>
      <color rgb="FF000000"/>
      <sz val="8"/>
    </font>
    <font>
      <name val="Aptos"/>
      <family val="2"/>
      <b val="1"/>
      <color rgb="FF000000"/>
      <sz val="9"/>
    </font>
    <font>
      <name val="Aptos"/>
      <family val="2"/>
      <b val="1"/>
      <color rgb="FF375623"/>
      <sz val="9"/>
    </font>
    <font>
      <name val="Aptos"/>
      <family val="2"/>
      <b val="1"/>
      <color rgb="FF000000"/>
      <sz val="10"/>
    </font>
    <font>
      <name val="Aptos"/>
      <charset val="1"/>
      <family val="2"/>
      <b val="1"/>
      <color rgb="FF000000"/>
      <sz val="9"/>
    </font>
    <font>
      <name val="Aptos"/>
      <family val="2"/>
      <b val="1"/>
      <color rgb="FF375623"/>
      <sz val="10"/>
    </font>
    <font>
      <name val="Aptos"/>
      <family val="2"/>
      <i val="1"/>
      <color rgb="FF2E75B6"/>
      <sz val="9"/>
    </font>
    <font>
      <name val="Aptos"/>
      <family val="2"/>
      <b val="1"/>
      <color rgb="FFFFFFFF"/>
      <sz val="14"/>
    </font>
    <font>
      <name val="Aptos"/>
      <family val="2"/>
      <color rgb="FF595959"/>
      <sz val="9"/>
    </font>
    <font>
      <name val="Aptos"/>
      <family val="2"/>
      <b val="1"/>
      <color rgb="FFC00000"/>
      <sz val="9"/>
    </font>
    <font>
      <name val="Aptos"/>
      <family val="2"/>
      <b val="1"/>
      <color rgb="FFC00000"/>
      <sz val="11"/>
    </font>
    <font>
      <name val="Aptos"/>
      <family val="2"/>
      <color rgb="FF000000"/>
      <sz val="8"/>
    </font>
    <font>
      <name val="Aptos"/>
      <family val="2"/>
      <color rgb="FFFFFFFF"/>
      <sz val="22"/>
    </font>
    <font>
      <name val="Aptos"/>
      <family val="2"/>
      <i val="1"/>
      <color rgb="FFFFFFFF"/>
      <sz val="13"/>
    </font>
    <font>
      <name val="Aptos"/>
      <family val="2"/>
      <i val="1"/>
      <color rgb="FF888888"/>
      <sz val="8"/>
    </font>
    <font>
      <name val="Aptos"/>
      <family val="2"/>
      <sz val="10"/>
    </font>
    <font>
      <name val="Aptos"/>
      <family val="2"/>
      <i val="1"/>
      <sz val="10"/>
    </font>
    <font>
      <name val="Aptos"/>
      <family val="2"/>
      <b val="1"/>
      <color rgb="FF2E75B6"/>
      <sz val="10"/>
    </font>
    <font>
      <name val="Aptos"/>
      <family val="2"/>
      <b val="1"/>
      <color rgb="FF1F4E79"/>
      <sz val="11"/>
    </font>
    <font>
      <name val="Aptos"/>
      <family val="2"/>
      <i val="1"/>
      <color rgb="FF666666"/>
      <sz val="9"/>
    </font>
    <font>
      <name val="Aptos"/>
      <family val="2"/>
      <i val="1"/>
      <color rgb="FFAAAAAA"/>
      <sz val="8"/>
    </font>
    <font>
      <name val="Aptos"/>
      <family val="2"/>
      <b val="1"/>
      <color rgb="FFFFFFFF"/>
      <sz val="12"/>
    </font>
    <font>
      <name val="Aptos"/>
      <family val="2"/>
      <b val="1"/>
      <color rgb="FFC55A11"/>
      <sz val="10"/>
    </font>
    <font>
      <name val="Aptos"/>
      <family val="2"/>
      <color rgb="FFC55A11"/>
      <sz val="9"/>
    </font>
    <font>
      <name val="Aptos"/>
      <family val="2"/>
      <i val="1"/>
      <color rgb="FF000000"/>
      <sz val="9"/>
    </font>
    <font>
      <name val="Aptos"/>
      <family val="2"/>
      <b val="1"/>
      <color rgb="FF375623"/>
      <sz val="11"/>
    </font>
    <font>
      <name val="Aptos"/>
      <family val="2"/>
      <b val="1"/>
      <color rgb="FF1F4E79"/>
      <sz val="10"/>
    </font>
    <font>
      <name val="Aptos"/>
      <family val="2"/>
      <color rgb="FF666666"/>
      <sz val="9"/>
    </font>
    <font>
      <name val="Aptos"/>
      <family val="2"/>
      <b val="1"/>
      <color rgb="FFFFFFFF"/>
      <sz val="11"/>
    </font>
    <font>
      <name val="Aptos"/>
      <family val="2"/>
      <b val="1"/>
      <color rgb="FFC55A11"/>
      <sz val="9"/>
    </font>
    <font>
      <name val="Aptos"/>
      <charset val="1"/>
      <family val="2"/>
      <b val="1"/>
      <color rgb="FFFFFFFF"/>
      <sz val="8"/>
    </font>
    <font>
      <name val="Aptos"/>
      <charset val="1"/>
      <family val="2"/>
      <b val="1"/>
      <color rgb="FF000000"/>
      <sz val="8"/>
    </font>
    <font>
      <name val="Aptos"/>
      <charset val="1"/>
      <family val="2"/>
      <color rgb="FF000000"/>
      <sz val="8"/>
    </font>
    <font>
      <name val="Aptos"/>
      <charset val="1"/>
      <family val="2"/>
      <color rgb="FF666666"/>
      <sz val="8"/>
    </font>
    <font>
      <name val="Aptos"/>
      <family val="2"/>
      <i val="1"/>
      <color rgb="FF595959"/>
      <sz val="9"/>
    </font>
    <font>
      <name val="Aptos"/>
      <family val="2"/>
      <b val="1"/>
      <color rgb="FFC00000"/>
      <sz val="10"/>
    </font>
    <font>
      <name val="Aptos"/>
      <family val="2"/>
      <b val="1"/>
      <color rgb="FF7F6000"/>
      <sz val="8"/>
    </font>
    <font>
      <name val="Aptos"/>
      <family val="2"/>
      <b val="1"/>
      <color rgb="FF7F3F00"/>
      <sz val="8"/>
    </font>
    <font>
      <name val="Aptos"/>
      <family val="2"/>
      <b val="1"/>
      <color rgb="FF1F497D"/>
      <sz val="8"/>
    </font>
    <font>
      <name val="Aptos"/>
      <family val="2"/>
      <b val="1"/>
      <color rgb="FF404040"/>
      <sz val="8"/>
    </font>
    <font>
      <name val="Aptos"/>
      <family val="2"/>
      <i val="1"/>
      <color rgb="FF1F497D"/>
      <sz val="8"/>
    </font>
    <font>
      <name val="Aptos"/>
      <family val="2"/>
      <b val="1"/>
      <color rgb="FF7F3F00"/>
      <sz val="9"/>
    </font>
    <font>
      <name val="Aptos"/>
      <family val="2"/>
      <b val="1"/>
      <color rgb="FF404040"/>
      <sz val="9"/>
    </font>
    <font>
      <name val="Aptos"/>
      <family val="2"/>
      <b val="1"/>
      <color rgb="FF1A3A5C"/>
      <sz val="9"/>
    </font>
    <font>
      <name val="Aptos"/>
      <family val="2"/>
      <color rgb="FF404040"/>
      <sz val="9"/>
    </font>
    <font>
      <name val="Aptos"/>
      <family val="2"/>
      <color rgb="FF1A5276"/>
      <sz val="9"/>
    </font>
    <font>
      <name val="Aptos"/>
      <family val="2"/>
      <color rgb="FF7F3F00"/>
      <sz val="9"/>
    </font>
    <font>
      <name val="Aptos"/>
      <family val="2"/>
      <b val="1"/>
      <color rgb="FF7F6000"/>
      <sz val="9"/>
    </font>
    <font>
      <name val="Aptos"/>
      <family val="2"/>
      <color rgb="FF375623"/>
      <sz val="9"/>
    </font>
    <font>
      <name val="Calibri"/>
      <charset val="1"/>
      <family val="2"/>
      <color theme="1"/>
      <sz val="8"/>
    </font>
    <font>
      <name val="Calibri"/>
      <charset val="1"/>
      <family val="2"/>
      <color theme="1"/>
      <sz val="9"/>
    </font>
    <font>
      <name val="Calibri"/>
      <charset val="1"/>
      <family val="2"/>
      <b val="1"/>
      <sz val="9"/>
    </font>
    <font>
      <name val="Calibri"/>
      <charset val="1"/>
      <family val="2"/>
      <b val="1"/>
      <color theme="1"/>
      <sz val="9"/>
    </font>
    <font>
      <name val="Calibri"/>
      <charset val="1"/>
      <family val="2"/>
      <color theme="0"/>
      <sz val="9"/>
    </font>
    <font>
      <name val="Calibri"/>
      <charset val="1"/>
      <family val="2"/>
      <sz val="9"/>
      <u val="single"/>
    </font>
    <font>
      <name val="Calibri"/>
      <charset val="1"/>
      <family val="2"/>
      <b val="1"/>
      <color theme="0"/>
      <sz val="9"/>
    </font>
    <font>
      <name val="Calibri"/>
      <charset val="1"/>
      <family val="2"/>
      <b val="1"/>
      <color theme="1"/>
      <sz val="8"/>
    </font>
    <font>
      <name val="Calibri"/>
      <charset val="1"/>
      <family val="2"/>
      <b val="1"/>
      <color theme="0"/>
      <sz val="8"/>
    </font>
    <font>
      <name val="Calibri"/>
      <charset val="1"/>
      <family val="2"/>
      <b val="1"/>
      <sz val="12"/>
    </font>
    <font>
      <name val="Calibri"/>
      <charset val="1"/>
      <family val="2"/>
      <b val="1"/>
      <sz val="8"/>
    </font>
    <font>
      <name val="Calibri"/>
      <charset val="1"/>
      <family val="2"/>
      <color rgb="FF000000"/>
      <sz val="9"/>
    </font>
    <font>
      <name val="Calibri"/>
      <charset val="1"/>
      <family val="2"/>
      <i val="1"/>
      <color theme="1"/>
      <sz val="9"/>
    </font>
    <font>
      <name val="Calibri"/>
      <charset val="1"/>
      <family val="2"/>
      <color rgb="FFFF0000"/>
      <sz val="9"/>
    </font>
    <font>
      <name val="Calibri"/>
      <charset val="1"/>
      <family val="2"/>
      <color theme="1"/>
      <sz val="11"/>
    </font>
    <font>
      <name val="Calibri"/>
      <charset val="1"/>
      <family val="2"/>
      <color theme="10"/>
      <sz val="11"/>
      <u val="single"/>
    </font>
    <font>
      <name val="Aptos"/>
      <family val="2"/>
      <b val="1"/>
      <color theme="1"/>
      <sz val="8"/>
    </font>
    <font>
      <name val="Aptos"/>
      <family val="2"/>
      <color theme="1"/>
      <sz val="8"/>
    </font>
    <font>
      <name val="Aptos"/>
      <family val="2"/>
      <i val="1"/>
      <color rgb="FF1F3864"/>
      <sz val="8"/>
    </font>
    <font>
      <name val="Aptos"/>
      <family val="2"/>
      <b val="1"/>
      <color theme="1"/>
      <sz val="9"/>
    </font>
    <font>
      <name val="Aptos"/>
      <family val="2"/>
      <b val="1"/>
      <color rgb="FF00693E"/>
      <sz val="9"/>
    </font>
    <font>
      <name val="Aptos"/>
      <family val="2"/>
      <b val="1"/>
      <color theme="1"/>
      <sz val="12"/>
    </font>
    <font>
      <name val="Aptos"/>
      <b val="1"/>
      <color rgb="FFFFFFFF"/>
      <sz val="10"/>
    </font>
    <font>
      <name val="Aptos"/>
      <i val="1"/>
      <color rgb="FF1F3864"/>
      <sz val="8"/>
    </font>
    <font>
      <name val="Aptos"/>
      <b val="1"/>
      <color rgb="FFFFFFFF"/>
      <sz val="9"/>
    </font>
    <font>
      <name val="Aptos"/>
      <b val="1"/>
      <color rgb="FFFFFFFF"/>
      <sz val="8"/>
    </font>
    <font>
      <name val="Aptos"/>
      <b val="1"/>
      <color rgb="FF1F3864"/>
      <sz val="8"/>
    </font>
    <font>
      <name val="Aptos"/>
      <color rgb="FF1F3864"/>
      <sz val="8"/>
    </font>
    <font>
      <name val="Aptos"/>
      <color rgb="FF00693E"/>
      <sz val="8"/>
    </font>
    <font>
      <name val="Aptos"/>
      <i val="1"/>
      <color rgb="FFC6EFCE"/>
      <sz val="8"/>
    </font>
    <font>
      <name val="Aptos"/>
      <b val="1"/>
      <color rgb="FF1A7A4A"/>
      <sz val="8"/>
    </font>
    <font>
      <name val="Aptos"/>
      <color rgb="FF333333"/>
      <sz val="8"/>
    </font>
    <font>
      <name val="Aptos"/>
      <b val="1"/>
      <color rgb="FFC00000"/>
      <sz val="8"/>
    </font>
    <font>
      <name val="Aptos"/>
      <b val="1"/>
      <color rgb="FF9C5700"/>
      <sz val="8"/>
    </font>
    <font>
      <name val="Aptos"/>
      <i val="1"/>
      <color rgb="FF595959"/>
      <sz val="7"/>
    </font>
    <font>
      <name val="Calibri"/>
      <charset val="1"/>
      <family val="2"/>
      <color theme="11"/>
      <sz val="11"/>
      <u val="single"/>
    </font>
    <font>
      <name val="Aptos"/>
      <b val="1"/>
      <color theme="1"/>
      <sz val="9"/>
    </font>
    <font>
      <name val="Aptos"/>
      <b val="1"/>
      <color rgb="FF000000"/>
      <sz val="9"/>
    </font>
    <font>
      <name val="Aptos"/>
      <b val="1"/>
      <color theme="1"/>
      <sz val="8"/>
    </font>
    <font>
      <name val="Aptos"/>
      <color theme="1"/>
      <sz val="8"/>
    </font>
    <font>
      <name val="Aptos"/>
      <color theme="8"/>
      <sz val="8"/>
    </font>
    <font>
      <name val="Aptos"/>
      <b val="1"/>
      <color rgb="FF00693E"/>
      <sz val="9"/>
    </font>
    <font>
      <name val="Aptos"/>
      <color theme="1"/>
      <sz val="9"/>
    </font>
    <font>
      <name val="Aptos"/>
      <i val="1"/>
      <color theme="1"/>
      <sz val="9"/>
    </font>
    <font>
      <name val="Aptos"/>
      <family val="2"/>
      <b val="1"/>
      <i val="1"/>
      <color theme="3"/>
      <sz val="9"/>
    </font>
    <font>
      <name val="Aptos"/>
      <b val="1"/>
      <i val="1"/>
      <color theme="3"/>
      <sz val="9"/>
    </font>
    <font>
      <name val="Aptos"/>
      <family val="2"/>
      <color theme="1"/>
      <sz val="9"/>
    </font>
    <font>
      <name val="Aptos"/>
      <family val="2"/>
      <i val="1"/>
      <color theme="1"/>
      <sz val="9"/>
    </font>
    <font>
      <name val="Aptos"/>
      <family val="2"/>
      <color rgb="FF00693E"/>
      <sz val="9"/>
    </font>
    <font>
      <name val="Aptos"/>
      <family val="2"/>
      <i val="1"/>
      <color theme="2" tint="-0.09997863704336681"/>
      <sz val="9"/>
    </font>
    <font>
      <name val="Aptos"/>
      <family val="2"/>
      <b val="1"/>
      <color theme="2" tint="-0.09997863704336681"/>
      <sz val="9"/>
    </font>
    <font>
      <name val="Calibri"/>
      <family val="2"/>
      <b val="1"/>
      <color theme="1"/>
      <sz val="11"/>
    </font>
    <font>
      <name val="Calibri"/>
      <charset val="1"/>
      <family val="2"/>
      <color rgb="FFFF0000"/>
      <sz val="11"/>
    </font>
    <font>
      <name val="Calibri"/>
      <charset val="1"/>
      <family val="2"/>
      <b val="1"/>
      <color theme="1"/>
      <sz val="11"/>
    </font>
    <font>
      <name val="Calibri"/>
      <b val="1"/>
      <color rgb="00FFFFFF"/>
      <sz val="13"/>
    </font>
    <font>
      <name val="Calibri"/>
      <color rgb="00FFFFFF"/>
      <sz val="9"/>
    </font>
    <font>
      <name val="Calibri"/>
      <b val="1"/>
      <color rgb="00FFFFFF"/>
      <sz val="9"/>
    </font>
    <font>
      <name val="Calibri"/>
      <i val="1"/>
      <color rgb="00FFFFFF"/>
      <sz val="9"/>
    </font>
    <font>
      <name val="Calibri"/>
      <color rgb="00000000"/>
      <sz val="9"/>
    </font>
  </fonts>
  <fills count="97">
    <fill>
      <patternFill/>
    </fill>
    <fill>
      <patternFill patternType="gray125"/>
    </fill>
    <fill>
      <patternFill patternType="solid">
        <fgColor rgb="FFD9D9DD"/>
        <bgColor rgb="FFD9DDE5"/>
      </patternFill>
    </fill>
    <fill>
      <patternFill patternType="solid">
        <fgColor rgb="FF1F4E79"/>
        <bgColor rgb="FF1A5277"/>
      </patternFill>
    </fill>
    <fill>
      <patternFill patternType="solid">
        <fgColor rgb="FF2E75B6"/>
        <bgColor rgb="FF3275BE"/>
      </patternFill>
    </fill>
    <fill>
      <patternFill patternType="solid">
        <fgColor rgb="FFFFFFFF"/>
        <bgColor rgb="FFF9FAFB"/>
      </patternFill>
    </fill>
    <fill>
      <patternFill patternType="solid">
        <fgColor rgb="FFD6E4F0"/>
        <bgColor rgb="FFDAE3F3"/>
      </patternFill>
    </fill>
    <fill>
      <patternFill patternType="solid">
        <fgColor rgb="FFF2F2F2"/>
        <bgColor rgb="FFF0F4F8"/>
      </patternFill>
    </fill>
    <fill>
      <patternFill patternType="solid">
        <fgColor rgb="FFE2EFDA"/>
        <bgColor rgb="FFE2F0D9"/>
      </patternFill>
    </fill>
    <fill>
      <patternFill patternType="solid">
        <fgColor rgb="FFE7E6E9"/>
        <bgColor rgb="FFDAE3F3"/>
      </patternFill>
    </fill>
    <fill>
      <patternFill patternType="solid">
        <fgColor rgb="FFFCE4D6"/>
        <bgColor rgb="FFFDE2E6"/>
      </patternFill>
    </fill>
    <fill>
      <patternFill patternType="solid">
        <fgColor rgb="FFFFF9E6"/>
        <bgColor rgb="FFFFF9E7"/>
      </patternFill>
    </fill>
    <fill>
      <patternFill patternType="solid">
        <fgColor theme="7" tint="0.7997985778374584"/>
        <bgColor rgb="FFFFF3CD"/>
      </patternFill>
    </fill>
    <fill>
      <patternFill patternType="solid">
        <fgColor rgb="FFFFFF00"/>
        <bgColor rgb="FFFFD66A"/>
      </patternFill>
    </fill>
    <fill>
      <patternFill patternType="solid">
        <fgColor theme="4" tint="0.7997985778374584"/>
        <bgColor rgb="FFDEEAF1"/>
      </patternFill>
    </fill>
    <fill>
      <patternFill patternType="darkGray">
        <fgColor rgb="FF1A5277"/>
        <bgColor rgb="FF1F4E79"/>
      </patternFill>
    </fill>
    <fill>
      <patternFill patternType="mediumGray">
        <fgColor rgb="FF7F3F00"/>
        <bgColor rgb="FF7F4B00"/>
      </patternFill>
    </fill>
    <fill>
      <patternFill patternType="solid">
        <fgColor theme="9" tint="0.7997985778374584"/>
        <bgColor rgb="FFE2EFDA"/>
      </patternFill>
    </fill>
    <fill>
      <patternFill patternType="solid">
        <fgColor theme="2"/>
        <bgColor rgb="FFDEEAF1"/>
      </patternFill>
    </fill>
    <fill>
      <patternFill patternType="solid">
        <fgColor rgb="FFE8F0FA"/>
        <bgColor rgb="FFEBF3FB"/>
      </patternFill>
    </fill>
    <fill>
      <patternFill patternType="solid">
        <fgColor rgb="FFEAF5E9"/>
        <bgColor rgb="FFF2F2F2"/>
      </patternFill>
    </fill>
    <fill>
      <patternFill patternType="solid">
        <fgColor rgb="FFFFF9E7"/>
        <bgColor rgb="FFFFF9E6"/>
      </patternFill>
    </fill>
    <fill>
      <patternFill patternType="solid">
        <fgColor rgb="FFF5EBF7"/>
        <bgColor rgb="FFF2F2F2"/>
      </patternFill>
    </fill>
    <fill>
      <patternFill patternType="solid">
        <fgColor rgb="FFFDEBD2"/>
        <bgColor rgb="FFFCE4D6"/>
      </patternFill>
    </fill>
    <fill>
      <patternFill patternType="solid">
        <fgColor rgb="FFFDF2E9"/>
        <bgColor rgb="FFFFF9E7"/>
      </patternFill>
    </fill>
    <fill>
      <patternFill patternType="solid">
        <fgColor rgb="FFF0F4F8"/>
        <bgColor rgb="FFF2F2F2"/>
      </patternFill>
    </fill>
    <fill>
      <patternFill patternType="darkGray">
        <fgColor theme="3" tint="0.7997985778374584"/>
        <bgColor rgb="FFD6E4F0"/>
      </patternFill>
    </fill>
    <fill>
      <patternFill patternType="mediumGray">
        <fgColor theme="3" tint="0.5995971556749168"/>
        <bgColor rgb="FFBFBFBF"/>
      </patternFill>
    </fill>
    <fill>
      <patternFill patternType="mediumGray">
        <fgColor theme="5" tint="0.3994872890408033"/>
        <bgColor rgb="FFC6BFBC"/>
      </patternFill>
    </fill>
    <fill>
      <patternFill patternType="solid">
        <fgColor rgb="FF375623"/>
        <bgColor rgb="FF404040"/>
      </patternFill>
    </fill>
    <fill>
      <patternFill patternType="solid">
        <fgColor rgb="FFDEEAF1"/>
        <bgColor rgb="FFDEEBF7"/>
      </patternFill>
    </fill>
    <fill>
      <patternFill patternType="darkGray">
        <fgColor rgb="FFD9DDE5"/>
        <bgColor rgb="FFD9D9DD"/>
      </patternFill>
    </fill>
    <fill>
      <patternFill patternType="darkGray">
        <fgColor rgb="FF5E5E5E"/>
        <bgColor rgb="FF404040"/>
      </patternFill>
    </fill>
    <fill>
      <patternFill patternType="mediumGray">
        <fgColor rgb="FFF2F2F2"/>
        <bgColor rgb="FFF0F4F8"/>
      </patternFill>
    </fill>
    <fill>
      <patternFill patternType="darkGray">
        <fgColor rgb="FFFFFFFF"/>
        <bgColor rgb="FFF9FAFB"/>
      </patternFill>
    </fill>
    <fill>
      <patternFill patternType="solid">
        <fgColor rgb="FFFFD66A"/>
        <bgColor rgb="FFFCE4D6"/>
      </patternFill>
    </fill>
    <fill>
      <patternFill patternType="solid">
        <fgColor rgb="FF70AD47"/>
        <bgColor rgb="FFA9D18E"/>
      </patternFill>
    </fill>
    <fill>
      <patternFill patternType="solid">
        <fgColor rgb="FFED7D31"/>
        <bgColor rgb="FFC55A11"/>
      </patternFill>
    </fill>
    <fill>
      <patternFill patternType="solid">
        <fgColor rgb="FF9DC3E6"/>
        <bgColor rgb="FFAFB5C1"/>
      </patternFill>
    </fill>
    <fill>
      <patternFill patternType="solid">
        <fgColor rgb="FFA9D18E"/>
        <bgColor rgb="FFBFBFBF"/>
      </patternFill>
    </fill>
    <fill>
      <patternFill patternType="solid">
        <fgColor rgb="FFC00000"/>
        <bgColor rgb="FFFF0000"/>
      </patternFill>
    </fill>
    <fill>
      <patternFill patternType="solid">
        <fgColor rgb="FF7030A0"/>
        <bgColor rgb="FF5E5E5E"/>
      </patternFill>
    </fill>
    <fill>
      <patternFill patternType="solid">
        <fgColor rgb="FF404040"/>
        <bgColor rgb="FF375623"/>
      </patternFill>
    </fill>
    <fill>
      <patternFill patternType="darkGray">
        <fgColor rgb="FF3275BE"/>
        <bgColor rgb="FF2E75B6"/>
      </patternFill>
    </fill>
    <fill>
      <patternFill patternType="solid">
        <fgColor rgb="FF5E5E5E"/>
        <bgColor rgb="FF375623"/>
      </patternFill>
    </fill>
    <fill>
      <patternFill patternType="mediumGray">
        <fgColor rgb="FF1B2A3C"/>
        <bgColor rgb="FF1F4E79"/>
      </patternFill>
    </fill>
    <fill>
      <patternFill patternType="solid">
        <fgColor rgb="FFEBF3FB"/>
        <bgColor rgb="FFE8F0FA"/>
      </patternFill>
    </fill>
    <fill>
      <patternFill patternType="solid">
        <fgColor rgb="FF1A5277"/>
        <bgColor rgb="FF1F4E79"/>
      </patternFill>
    </fill>
    <fill>
      <patternFill patternType="solid">
        <fgColor rgb="FFF7F7F7"/>
        <bgColor rgb="FFF9FAFB"/>
      </patternFill>
    </fill>
    <fill>
      <patternFill patternType="darkGray">
        <fgColor rgb="FFFDE2E6"/>
        <bgColor rgb="FFFCE4D6"/>
      </patternFill>
    </fill>
    <fill>
      <patternFill patternType="solid">
        <fgColor rgb="FFF9FAFB"/>
        <bgColor rgb="FFF7F7F7"/>
      </patternFill>
    </fill>
    <fill>
      <patternFill patternType="solid">
        <fgColor rgb="FFDAE3F3"/>
        <bgColor rgb="FFD6E4F0"/>
      </patternFill>
    </fill>
    <fill>
      <patternFill patternType="darkGray">
        <fgColor rgb="FFF9FAFB"/>
        <bgColor rgb="FFF7F7F7"/>
      </patternFill>
    </fill>
    <fill>
      <patternFill patternType="solid">
        <fgColor rgb="FFFFF3CD"/>
        <bgColor rgb="FFFFF2CC"/>
      </patternFill>
    </fill>
    <fill>
      <patternFill patternType="solid">
        <fgColor rgb="FFFDE2E6"/>
        <bgColor rgb="FFFCE4D6"/>
      </patternFill>
    </fill>
    <fill>
      <patternFill patternType="darkGray">
        <fgColor rgb="FFFDEBD2"/>
        <bgColor rgb="FFFCE4D6"/>
      </patternFill>
    </fill>
    <fill>
      <patternFill patternType="solid">
        <fgColor rgb="FFC55A11"/>
        <bgColor rgb="FFED7D31"/>
      </patternFill>
    </fill>
    <fill>
      <patternFill patternType="solid">
        <fgColor rgb="FFFF0000"/>
        <bgColor rgb="FFC00000"/>
      </patternFill>
    </fill>
    <fill>
      <patternFill patternType="solid">
        <fgColor theme="0" tint="-0.249977111117893"/>
        <bgColor rgb="FFC6BFBC"/>
      </patternFill>
    </fill>
    <fill>
      <patternFill patternType="solid">
        <fgColor theme="4" tint="0.5995971556749168"/>
        <bgColor rgb="FFCCCCCC"/>
      </patternFill>
    </fill>
    <fill>
      <patternFill patternType="solid">
        <fgColor rgb="FFFFFFCC"/>
        <bgColor rgb="FFFFF3CD"/>
      </patternFill>
    </fill>
    <fill>
      <patternFill patternType="solid">
        <fgColor rgb="FF0070C0"/>
        <bgColor rgb="FF2E75B6"/>
      </patternFill>
    </fill>
    <fill>
      <patternFill patternType="solid">
        <fgColor theme="4"/>
        <bgColor rgb="FF3275BE"/>
      </patternFill>
    </fill>
    <fill>
      <patternFill patternType="solid">
        <fgColor rgb="FF99FFCC"/>
        <bgColor rgb="FFF9FAFB"/>
      </patternFill>
    </fill>
    <fill>
      <patternFill patternType="solid">
        <fgColor rgb="FFCCFFFF"/>
        <bgColor indexed="64"/>
      </patternFill>
    </fill>
    <fill>
      <patternFill patternType="solid">
        <fgColor theme="0"/>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CCECFF"/>
        <bgColor indexed="64"/>
      </patternFill>
    </fill>
    <fill>
      <patternFill patternType="solid">
        <fgColor rgb="FFC00000"/>
        <bgColor indexed="64"/>
      </patternFill>
    </fill>
    <fill>
      <patternFill patternType="solid">
        <fgColor theme="9" tint="-0.249977111117893"/>
        <bgColor indexed="64"/>
      </patternFill>
    </fill>
    <fill>
      <patternFill patternType="solid">
        <fgColor rgb="FFD9D9D9"/>
      </patternFill>
    </fill>
    <fill>
      <patternFill patternType="solid">
        <fgColor rgb="FF1F3864"/>
      </patternFill>
    </fill>
    <fill>
      <patternFill patternType="solid">
        <fgColor rgb="FFD6E4F0"/>
      </patternFill>
    </fill>
    <fill>
      <patternFill patternType="solid">
        <fgColor rgb="FF2E75B6"/>
      </patternFill>
    </fill>
    <fill>
      <patternFill patternType="solid">
        <fgColor rgb="FFFFFFFF"/>
      </patternFill>
    </fill>
    <fill>
      <patternFill patternType="solid">
        <fgColor rgb="FFEBF3FB"/>
      </patternFill>
    </fill>
    <fill>
      <patternFill patternType="solid">
        <fgColor rgb="FF1F4E79"/>
      </patternFill>
    </fill>
    <fill>
      <patternFill patternType="solid">
        <fgColor rgb="FF156082"/>
      </patternFill>
    </fill>
    <fill>
      <patternFill patternType="solid">
        <fgColor rgb="FF7B3F00"/>
      </patternFill>
    </fill>
    <fill>
      <patternFill patternType="solid">
        <fgColor rgb="FF375623"/>
      </patternFill>
    </fill>
    <fill>
      <patternFill patternType="solid">
        <fgColor rgb="FF0F6E56"/>
      </patternFill>
    </fill>
    <fill>
      <patternFill patternType="solid">
        <fgColor rgb="FFC6EFCE"/>
      </patternFill>
    </fill>
    <fill>
      <patternFill patternType="solid">
        <fgColor rgb="FFF7F7F7"/>
      </patternFill>
    </fill>
    <fill>
      <patternFill patternType="solid">
        <fgColor rgb="FFFFC7CE"/>
      </patternFill>
    </fill>
    <fill>
      <patternFill patternType="solid">
        <fgColor rgb="FFFFEB9C"/>
      </patternFill>
    </fill>
    <fill>
      <patternFill patternType="solid">
        <fgColor rgb="FFF2F2F2"/>
      </patternFill>
    </fill>
    <fill>
      <patternFill patternType="solid">
        <fgColor theme="0" tint="-0.0499893185216834"/>
        <bgColor indexed="64"/>
      </patternFill>
    </fill>
    <fill>
      <patternFill patternType="solid">
        <fgColor theme="2" tint="-0.09997863704336681"/>
        <bgColor indexed="64"/>
      </patternFill>
    </fill>
    <fill>
      <patternFill patternType="solid">
        <fgColor theme="7" tint="0.7999816888943144"/>
        <bgColor indexed="64"/>
      </patternFill>
    </fill>
    <fill>
      <patternFill patternType="solid">
        <fgColor rgb="FFFFFF00"/>
        <bgColor indexed="64"/>
      </patternFill>
    </fill>
    <fill>
      <patternFill patternType="solid">
        <fgColor theme="9" tint="0.5999938962981048"/>
        <bgColor indexed="64"/>
      </patternFill>
    </fill>
    <fill>
      <patternFill patternType="solid">
        <fgColor rgb="001F3864"/>
      </patternFill>
    </fill>
    <fill>
      <patternFill patternType="solid">
        <fgColor rgb="002E75B6"/>
      </patternFill>
    </fill>
    <fill>
      <patternFill patternType="solid">
        <fgColor rgb="00DCE6F1"/>
      </patternFill>
    </fill>
    <fill>
      <patternFill patternType="solid">
        <fgColor rgb="00FFFFFF"/>
      </patternFill>
    </fill>
    <fill>
      <patternFill patternType="solid">
        <fgColor rgb="00375623"/>
      </patternFill>
    </fill>
  </fills>
  <borders count="40">
    <border>
      <left/>
      <right/>
      <top/>
      <bottom/>
      <diagonal/>
    </border>
    <border>
      <left/>
      <right/>
      <top/>
      <bottom style="thin">
        <color rgb="FFD9DDE5"/>
      </bottom>
      <diagonal/>
    </border>
    <border>
      <left style="thin">
        <color rgb="FFCCCCCC"/>
      </left>
      <right style="thin">
        <color rgb="FFCCCCCC"/>
      </right>
      <top style="thin">
        <color rgb="FFCCCCCC"/>
      </top>
      <bottom style="thin">
        <color rgb="FFCCCCCC"/>
      </bottom>
      <diagonal/>
    </border>
    <border>
      <left style="thin">
        <color theme="2" tint="-0.09997863704336681"/>
      </left>
      <right style="thin">
        <color theme="2" tint="-0.09997863704336681"/>
      </right>
      <top style="thin">
        <color theme="2" tint="-0.09997863704336681"/>
      </top>
      <bottom style="thin">
        <color theme="2" tint="-0.09997863704336681"/>
      </bottom>
      <diagonal/>
    </border>
    <border>
      <left style="thin">
        <color rgb="FFC6BFBC"/>
      </left>
      <right style="thin">
        <color rgb="FFC6BFBC"/>
      </right>
      <top style="thin">
        <color rgb="FFC6BFBC"/>
      </top>
      <bottom style="thin">
        <color rgb="FFC6BFBC"/>
      </bottom>
      <diagonal/>
    </border>
    <border>
      <left/>
      <right style="thin">
        <color theme="2" tint="-0.09997863704336681"/>
      </right>
      <top style="thin">
        <color theme="2" tint="-0.09997863704336681"/>
      </top>
      <bottom style="thin">
        <color theme="2" tint="-0.09997863704336681"/>
      </bottom>
      <diagonal/>
    </border>
    <border>
      <left style="thin">
        <color auto="1"/>
      </left>
      <right style="thin">
        <color auto="1"/>
      </right>
      <top style="thin">
        <color auto="1"/>
      </top>
      <bottom style="thin">
        <color auto="1"/>
      </bottom>
      <diagonal/>
    </border>
    <border>
      <left style="medium">
        <color rgb="FFC55A11"/>
      </left>
      <right/>
      <top style="thin">
        <color rgb="FFCCCCCC"/>
      </top>
      <bottom style="medium">
        <color rgb="FFC55A11"/>
      </bottom>
      <diagonal/>
    </border>
    <border>
      <left/>
      <right/>
      <top/>
      <bottom style="thin">
        <color rgb="FF2E75B6"/>
      </bottom>
      <diagonal/>
    </border>
    <border>
      <left style="thin">
        <color auto="1"/>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hair">
        <color auto="1"/>
      </bottom>
      <diagonal/>
    </border>
    <border>
      <left style="thin">
        <color auto="1"/>
      </left>
      <right style="thin">
        <color auto="1"/>
      </right>
      <top/>
      <bottom style="hair">
        <color auto="1"/>
      </bottom>
      <diagonal/>
    </border>
    <border>
      <left/>
      <right/>
      <top style="hair">
        <color auto="1"/>
      </top>
      <bottom/>
      <diagonal/>
    </border>
    <border>
      <left/>
      <right style="thin">
        <color auto="1"/>
      </right>
      <top style="hair">
        <color auto="1"/>
      </top>
      <bottom/>
      <diagonal/>
    </border>
    <border>
      <left/>
      <right style="thin">
        <color auto="1"/>
      </right>
      <top/>
      <bottom style="hair">
        <color auto="1"/>
      </bottom>
      <diagonal/>
    </border>
    <border>
      <left/>
      <right style="thin">
        <color auto="1"/>
      </right>
      <top style="hair">
        <color auto="1"/>
      </top>
      <bottom style="hair">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theme="2"/>
      </left>
      <right style="thin">
        <color theme="2"/>
      </right>
      <top style="thin">
        <color theme="2"/>
      </top>
      <bottom style="thin">
        <color theme="2"/>
      </bottom>
      <diagonal/>
    </border>
    <border>
      <left/>
      <right/>
      <top style="thin">
        <color rgb="FFCCCCCC"/>
      </top>
      <bottom style="medium">
        <color rgb="FFC55A11"/>
      </bottom>
      <diagonal/>
    </border>
    <border>
      <left/>
      <right/>
      <top style="thin">
        <color rgb="FFC6BFBC"/>
      </top>
      <bottom style="thin">
        <color rgb="FFC6BFBC"/>
      </bottom>
      <diagonal/>
    </border>
    <border>
      <left/>
      <right style="thin">
        <color rgb="FFC6BFBC"/>
      </right>
      <top style="thin">
        <color rgb="FFC6BFBC"/>
      </top>
      <bottom style="thin">
        <color rgb="FFC6BFBC"/>
      </bottom>
      <diagonal/>
    </border>
    <border>
      <left style="thin">
        <color rgb="FFBFBFBF"/>
      </left>
      <right style="thin">
        <color rgb="FFBFBFBF"/>
      </right>
      <top style="thin">
        <color rgb="FFBFBFBF"/>
      </top>
      <bottom style="thin">
        <color rgb="FFBFBFBF"/>
      </bottom>
      <diagonal/>
    </border>
    <border>
      <left/>
      <right/>
      <top style="thin">
        <color theme="2" tint="-0.249946592608417"/>
      </top>
      <bottom style="thin">
        <color theme="2" tint="-0.249946592608417"/>
      </bottom>
      <diagonal/>
    </border>
    <border>
      <left style="thin">
        <color rgb="FFBFBFBF"/>
      </left>
      <right/>
      <top/>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style="thin">
        <color auto="1"/>
      </top>
      <bottom/>
      <diagonal/>
    </border>
    <border>
      <left/>
      <right style="thin">
        <color auto="1"/>
      </right>
      <top style="thin">
        <color auto="1"/>
      </top>
      <bottom/>
      <diagonal/>
    </border>
    <border>
      <left/>
      <right/>
      <top style="thin">
        <color rgb="FFCCCCCC"/>
      </top>
      <bottom/>
      <diagonal/>
    </border>
    <border>
      <left/>
      <right/>
      <top style="thin">
        <color rgb="FFC6BFBC"/>
      </top>
      <bottom/>
      <diagonal/>
    </border>
    <border>
      <left/>
      <right style="thin">
        <color rgb="FFC6BFBC"/>
      </right>
      <top style="thin">
        <color rgb="FFC6BFBC"/>
      </top>
      <bottom/>
      <diagonal/>
    </border>
    <border>
      <left style="thin">
        <color rgb="00B8CCE4"/>
      </left>
      <right style="thin">
        <color rgb="00B8CCE4"/>
      </right>
      <top style="thin">
        <color rgb="00B8CCE4"/>
      </top>
      <bottom style="thin">
        <color rgb="00B8CCE4"/>
      </bottom>
    </border>
  </borders>
  <cellStyleXfs count="10">
    <xf numFmtId="0" fontId="107" fillId="0" borderId="0"/>
    <xf numFmtId="177" fontId="107" fillId="0" borderId="0"/>
    <xf numFmtId="178" fontId="107" fillId="0" borderId="0"/>
    <xf numFmtId="0" fontId="1" fillId="0" borderId="0"/>
    <xf numFmtId="0" fontId="1" fillId="0" borderId="0"/>
    <xf numFmtId="0" fontId="107" fillId="0" borderId="0"/>
    <xf numFmtId="49" fontId="2" fillId="2" borderId="0" applyAlignment="1">
      <alignment horizontal="left" vertical="top" wrapText="1"/>
    </xf>
    <xf numFmtId="0" fontId="108" fillId="0" borderId="0"/>
    <xf numFmtId="0" fontId="128" fillId="0" borderId="0"/>
    <xf numFmtId="176" fontId="107" fillId="0" borderId="0"/>
  </cellStyleXfs>
  <cellXfs count="880">
    <xf numFmtId="0" fontId="0" fillId="0" borderId="0" pivotButton="0" quotePrefix="0" xfId="0"/>
    <xf numFmtId="0" fontId="0" fillId="3" borderId="0" pivotButton="0" quotePrefix="0" xfId="0"/>
    <xf numFmtId="0" fontId="0" fillId="5" borderId="0" pivotButton="0" quotePrefix="0" xfId="0"/>
    <xf numFmtId="0" fontId="0" fillId="7" borderId="0" pivotButton="0" quotePrefix="0" xfId="0"/>
    <xf numFmtId="0" fontId="11" fillId="7" borderId="2" applyAlignment="1" pivotButton="0" quotePrefix="0" xfId="0">
      <alignment horizontal="left" vertical="center" wrapText="1"/>
    </xf>
    <xf numFmtId="0" fontId="11" fillId="5" borderId="2" applyAlignment="1" pivotButton="0" quotePrefix="0" xfId="0">
      <alignment horizontal="left" vertical="center" wrapText="1"/>
    </xf>
    <xf numFmtId="0" fontId="13" fillId="9" borderId="2" applyAlignment="1" pivotButton="0" quotePrefix="0" xfId="0">
      <alignment horizontal="center" vertical="center" wrapText="1"/>
    </xf>
    <xf numFmtId="0" fontId="14" fillId="10" borderId="2" applyAlignment="1" pivotButton="0" quotePrefix="0" xfId="0">
      <alignment horizontal="center" vertical="center" wrapText="1"/>
    </xf>
    <xf numFmtId="0" fontId="15" fillId="7" borderId="2" applyAlignment="1" pivotButton="0" quotePrefix="0" xfId="0">
      <alignment horizontal="center" vertical="center" wrapText="1"/>
    </xf>
    <xf numFmtId="0" fontId="6" fillId="7" borderId="2" applyAlignment="1" pivotButton="0" quotePrefix="0" xfId="0">
      <alignment horizontal="center" vertical="center"/>
    </xf>
    <xf numFmtId="0" fontId="6" fillId="7" borderId="2" applyAlignment="1" pivotButton="0" quotePrefix="0" xfId="0">
      <alignment horizontal="left" vertical="center" wrapText="1"/>
    </xf>
    <xf numFmtId="0" fontId="6" fillId="5" borderId="2" applyAlignment="1" pivotButton="0" quotePrefix="0" xfId="0">
      <alignment horizontal="center" vertical="center"/>
    </xf>
    <xf numFmtId="0" fontId="6" fillId="5" borderId="2" applyAlignment="1" pivotButton="0" quotePrefix="0" xfId="0">
      <alignment horizontal="left" vertical="center" wrapText="1"/>
    </xf>
    <xf numFmtId="0" fontId="0" fillId="6" borderId="0" pivotButton="0" quotePrefix="0" xfId="0"/>
    <xf numFmtId="0" fontId="17" fillId="6" borderId="2" applyAlignment="1" pivotButton="0" quotePrefix="0" xfId="0">
      <alignment horizontal="center" vertical="center"/>
    </xf>
    <xf numFmtId="0" fontId="17" fillId="6" borderId="2" applyAlignment="1" pivotButton="0" quotePrefix="0" xfId="0">
      <alignment horizontal="left" vertical="center" wrapText="1"/>
    </xf>
    <xf numFmtId="0" fontId="0" fillId="11" borderId="0" pivotButton="0" quotePrefix="0" xfId="0"/>
    <xf numFmtId="0" fontId="18" fillId="11" borderId="2" applyAlignment="1" pivotButton="0" quotePrefix="0" xfId="0">
      <alignment horizontal="center" vertical="center"/>
    </xf>
    <xf numFmtId="0" fontId="18" fillId="11" borderId="2" applyAlignment="1" pivotButton="0" quotePrefix="0" xfId="0">
      <alignment horizontal="left" vertical="center"/>
    </xf>
    <xf numFmtId="0" fontId="5" fillId="7" borderId="2" applyAlignment="1" pivotButton="0" quotePrefix="0" xfId="0">
      <alignment horizontal="center" vertical="center"/>
    </xf>
    <xf numFmtId="0" fontId="5" fillId="5" borderId="2" applyAlignment="1" pivotButton="0" quotePrefix="0" xfId="0">
      <alignment horizontal="center" vertical="center"/>
    </xf>
    <xf numFmtId="0" fontId="21" fillId="0" borderId="0" pivotButton="0" quotePrefix="0" xfId="0"/>
    <xf numFmtId="0" fontId="20" fillId="0" borderId="0" applyAlignment="1" pivotButton="0" quotePrefix="0" xfId="0">
      <alignment horizontal="center"/>
    </xf>
    <xf numFmtId="0" fontId="22" fillId="12" borderId="0" applyAlignment="1" pivotButton="0" quotePrefix="0" xfId="0">
      <alignment horizontal="left" vertical="center" wrapText="1"/>
    </xf>
    <xf numFmtId="0" fontId="22" fillId="12" borderId="0" applyAlignment="1" pivotButton="0" quotePrefix="0" xfId="0">
      <alignment horizontal="left" vertical="center"/>
    </xf>
    <xf numFmtId="0" fontId="23" fillId="0" borderId="0" pivotButton="0" quotePrefix="0" xfId="0"/>
    <xf numFmtId="0" fontId="24" fillId="0" borderId="3" applyAlignment="1" pivotButton="0" quotePrefix="0" xfId="0">
      <alignment vertical="center" wrapText="1"/>
    </xf>
    <xf numFmtId="0" fontId="24" fillId="0" borderId="3" applyAlignment="1" pivotButton="0" quotePrefix="0" xfId="0">
      <alignment vertical="center"/>
    </xf>
    <xf numFmtId="0" fontId="24" fillId="14" borderId="3" applyAlignment="1" pivotButton="0" quotePrefix="0" xfId="0">
      <alignment vertical="center" wrapText="1"/>
    </xf>
    <xf numFmtId="0" fontId="24" fillId="14" borderId="3" applyAlignment="1" pivotButton="0" quotePrefix="0" xfId="0">
      <alignment horizontal="center" vertical="center" wrapText="1"/>
    </xf>
    <xf numFmtId="0" fontId="25" fillId="15" borderId="4" applyAlignment="1" pivotButton="0" quotePrefix="0" xfId="0">
      <alignment horizontal="center" vertical="center" wrapText="1"/>
    </xf>
    <xf numFmtId="0" fontId="25" fillId="16" borderId="4" applyAlignment="1" pivotButton="0" quotePrefix="0" xfId="0">
      <alignment horizontal="center" vertical="center" wrapText="1"/>
    </xf>
    <xf numFmtId="0" fontId="24" fillId="17" borderId="3" applyAlignment="1" pivotButton="0" quotePrefix="0" xfId="0">
      <alignment vertical="center" wrapText="1"/>
    </xf>
    <xf numFmtId="0" fontId="24" fillId="17" borderId="3" applyAlignment="1" pivotButton="0" quotePrefix="0" xfId="0">
      <alignment horizontal="center" vertical="center" wrapText="1"/>
    </xf>
    <xf numFmtId="0" fontId="24" fillId="18" borderId="3" applyAlignment="1" pivotButton="0" quotePrefix="0" xfId="0">
      <alignment horizontal="right" vertical="center" wrapText="1"/>
    </xf>
    <xf numFmtId="0" fontId="24" fillId="18" borderId="3" applyAlignment="1" pivotButton="0" quotePrefix="0" xfId="0">
      <alignment vertical="center"/>
    </xf>
    <xf numFmtId="0" fontId="26" fillId="19" borderId="4" applyAlignment="1" pivotButton="0" quotePrefix="0" xfId="0">
      <alignment horizontal="center" vertical="center"/>
    </xf>
    <xf numFmtId="0" fontId="27" fillId="19" borderId="4" applyAlignment="1" pivotButton="0" quotePrefix="0" xfId="0">
      <alignment horizontal="center" vertical="center"/>
    </xf>
    <xf numFmtId="0" fontId="24" fillId="18" borderId="3" applyAlignment="1" pivotButton="0" quotePrefix="0" xfId="0">
      <alignment horizontal="center" vertical="center" wrapText="1"/>
    </xf>
    <xf numFmtId="0" fontId="20" fillId="0" borderId="3" applyAlignment="1" pivotButton="0" quotePrefix="0" xfId="0">
      <alignment horizontal="right"/>
    </xf>
    <xf numFmtId="0" fontId="20" fillId="0" borderId="3" applyAlignment="1" pivotButton="0" quotePrefix="0" xfId="0">
      <alignment horizontal="left" indent="1"/>
    </xf>
    <xf numFmtId="0" fontId="20" fillId="0" borderId="3" applyAlignment="1" pivotButton="0" quotePrefix="0" xfId="0">
      <alignment horizontal="center"/>
    </xf>
    <xf numFmtId="0" fontId="28" fillId="19" borderId="4" applyAlignment="1" pivotButton="0" quotePrefix="0" xfId="0">
      <alignment horizontal="center" vertical="center"/>
    </xf>
    <xf numFmtId="0" fontId="29" fillId="19" borderId="4" applyAlignment="1" pivotButton="0" quotePrefix="0" xfId="0">
      <alignment horizontal="center" vertical="center"/>
    </xf>
    <xf numFmtId="0" fontId="26" fillId="20" borderId="4" applyAlignment="1" pivotButton="0" quotePrefix="0" xfId="0">
      <alignment horizontal="center" vertical="center"/>
    </xf>
    <xf numFmtId="0" fontId="27" fillId="20" borderId="4" applyAlignment="1" pivotButton="0" quotePrefix="0" xfId="0">
      <alignment horizontal="center" vertical="center"/>
    </xf>
    <xf numFmtId="0" fontId="28" fillId="20" borderId="4" applyAlignment="1" pivotButton="0" quotePrefix="0" xfId="0">
      <alignment horizontal="center" vertical="center"/>
    </xf>
    <xf numFmtId="0" fontId="29" fillId="20" borderId="4" applyAlignment="1" pivotButton="0" quotePrefix="0" xfId="0">
      <alignment horizontal="center" vertical="center"/>
    </xf>
    <xf numFmtId="0" fontId="26" fillId="21" borderId="4" applyAlignment="1" pivotButton="0" quotePrefix="0" xfId="0">
      <alignment horizontal="center" vertical="center"/>
    </xf>
    <xf numFmtId="0" fontId="27" fillId="21" borderId="4" applyAlignment="1" pivotButton="0" quotePrefix="0" xfId="0">
      <alignment horizontal="center" vertical="center"/>
    </xf>
    <xf numFmtId="0" fontId="28" fillId="21" borderId="4" applyAlignment="1" pivotButton="0" quotePrefix="0" xfId="0">
      <alignment horizontal="center" vertical="center"/>
    </xf>
    <xf numFmtId="0" fontId="29" fillId="21" borderId="4" applyAlignment="1" pivotButton="0" quotePrefix="0" xfId="0">
      <alignment horizontal="center" vertical="center"/>
    </xf>
    <xf numFmtId="0" fontId="30" fillId="14" borderId="3" applyAlignment="1" pivotButton="0" quotePrefix="0" xfId="0">
      <alignment horizontal="right"/>
    </xf>
    <xf numFmtId="0" fontId="30" fillId="14" borderId="3" applyAlignment="1" pivotButton="0" quotePrefix="0" xfId="0">
      <alignment horizontal="left" indent="1"/>
    </xf>
    <xf numFmtId="0" fontId="30" fillId="14" borderId="3" applyAlignment="1" pivotButton="0" quotePrefix="0" xfId="0">
      <alignment horizontal="center"/>
    </xf>
    <xf numFmtId="0" fontId="26" fillId="22" borderId="4" applyAlignment="1" pivotButton="0" quotePrefix="0" xfId="0">
      <alignment horizontal="center" vertical="center"/>
    </xf>
    <xf numFmtId="0" fontId="27" fillId="22" borderId="4" applyAlignment="1" pivotButton="0" quotePrefix="0" xfId="0">
      <alignment horizontal="center" vertical="center"/>
    </xf>
    <xf numFmtId="0" fontId="28" fillId="22" borderId="4" applyAlignment="1" pivotButton="0" quotePrefix="0" xfId="0">
      <alignment horizontal="center" vertical="center"/>
    </xf>
    <xf numFmtId="0" fontId="29" fillId="22" borderId="4" applyAlignment="1" pivotButton="0" quotePrefix="0" xfId="0">
      <alignment horizontal="center" vertical="center"/>
    </xf>
    <xf numFmtId="0" fontId="26" fillId="23" borderId="4" applyAlignment="1" pivotButton="0" quotePrefix="0" xfId="0">
      <alignment horizontal="center" vertical="center"/>
    </xf>
    <xf numFmtId="0" fontId="27" fillId="23" borderId="4" applyAlignment="1" pivotButton="0" quotePrefix="0" xfId="0">
      <alignment horizontal="center" vertical="center"/>
    </xf>
    <xf numFmtId="0" fontId="28" fillId="23" borderId="4" applyAlignment="1" pivotButton="0" quotePrefix="0" xfId="0">
      <alignment horizontal="center" vertical="center"/>
    </xf>
    <xf numFmtId="0" fontId="29" fillId="23" borderId="4" applyAlignment="1" pivotButton="0" quotePrefix="0" xfId="0">
      <alignment horizontal="center" vertical="center"/>
    </xf>
    <xf numFmtId="0" fontId="26" fillId="24" borderId="4" applyAlignment="1" pivotButton="0" quotePrefix="0" xfId="0">
      <alignment horizontal="center" vertical="center"/>
    </xf>
    <xf numFmtId="0" fontId="27" fillId="24" borderId="4" applyAlignment="1" pivotButton="0" quotePrefix="0" xfId="0">
      <alignment horizontal="center" vertical="center"/>
    </xf>
    <xf numFmtId="0" fontId="28" fillId="24" borderId="4" applyAlignment="1" pivotButton="0" quotePrefix="0" xfId="0">
      <alignment horizontal="center" vertical="center"/>
    </xf>
    <xf numFmtId="0" fontId="29" fillId="24" borderId="4" applyAlignment="1" pivotButton="0" quotePrefix="0" xfId="0">
      <alignment horizontal="center" vertical="center"/>
    </xf>
    <xf numFmtId="0" fontId="20" fillId="12" borderId="3" applyAlignment="1" pivotButton="0" quotePrefix="0" xfId="0">
      <alignment horizontal="left" indent="1"/>
    </xf>
    <xf numFmtId="0" fontId="26" fillId="25" borderId="4" applyAlignment="1" pivotButton="0" quotePrefix="0" xfId="0">
      <alignment horizontal="center" vertical="center"/>
    </xf>
    <xf numFmtId="0" fontId="27" fillId="25" borderId="4" applyAlignment="1" pivotButton="0" quotePrefix="0" xfId="0">
      <alignment horizontal="center" vertical="center"/>
    </xf>
    <xf numFmtId="0" fontId="28" fillId="25" borderId="4" applyAlignment="1" pivotButton="0" quotePrefix="0" xfId="0">
      <alignment horizontal="center" vertical="center"/>
    </xf>
    <xf numFmtId="0" fontId="29" fillId="25" borderId="4" applyAlignment="1" pivotButton="0" quotePrefix="0" xfId="0">
      <alignment horizontal="center" vertical="center"/>
    </xf>
    <xf numFmtId="0" fontId="31" fillId="0" borderId="0" pivotButton="0" quotePrefix="0" xfId="0"/>
    <xf numFmtId="0" fontId="32" fillId="0" borderId="0" pivotButton="0" quotePrefix="0" xfId="0"/>
    <xf numFmtId="17" fontId="33" fillId="26" borderId="3" applyAlignment="1" pivotButton="0" quotePrefix="0" xfId="0">
      <alignment horizontal="left" vertical="center"/>
    </xf>
    <xf numFmtId="1" fontId="33" fillId="27" borderId="5" applyAlignment="1" pivotButton="0" quotePrefix="0" xfId="0">
      <alignment horizontal="left" vertical="center"/>
    </xf>
    <xf numFmtId="1" fontId="33" fillId="27" borderId="3" applyAlignment="1" pivotButton="0" quotePrefix="0" xfId="0">
      <alignment horizontal="left" vertical="center"/>
    </xf>
    <xf numFmtId="0" fontId="24" fillId="0" borderId="0" pivotButton="0" quotePrefix="0" xfId="0"/>
    <xf numFmtId="1" fontId="20" fillId="0" borderId="3" applyAlignment="1" pivotButton="0" quotePrefix="0" xfId="0">
      <alignment horizontal="left" indent="1"/>
    </xf>
    <xf numFmtId="0" fontId="20" fillId="0" borderId="0" applyAlignment="1" pivotButton="0" quotePrefix="0" xfId="0">
      <alignment horizontal="right"/>
    </xf>
    <xf numFmtId="0" fontId="20" fillId="0" borderId="0" applyAlignment="1" pivotButton="0" quotePrefix="0" xfId="0">
      <alignment horizontal="left" indent="1"/>
    </xf>
    <xf numFmtId="9" fontId="20" fillId="0" borderId="0" pivotButton="0" quotePrefix="0" xfId="0"/>
    <xf numFmtId="9" fontId="20" fillId="0" borderId="0" applyAlignment="1" pivotButton="0" quotePrefix="0" xfId="0">
      <alignment horizontal="center"/>
    </xf>
    <xf numFmtId="17" fontId="33" fillId="10" borderId="3" applyAlignment="1" pivotButton="0" quotePrefix="0" xfId="0">
      <alignment horizontal="left" vertical="center"/>
    </xf>
    <xf numFmtId="1" fontId="33" fillId="28" borderId="5" applyAlignment="1" pivotButton="0" quotePrefix="0" xfId="0">
      <alignment horizontal="left" vertical="center"/>
    </xf>
    <xf numFmtId="0" fontId="36" fillId="0" borderId="0" pivotButton="0" quotePrefix="0" xfId="0"/>
    <xf numFmtId="17" fontId="33" fillId="17" borderId="3" applyAlignment="1" pivotButton="0" quotePrefix="0" xfId="0">
      <alignment horizontal="left" vertical="center"/>
    </xf>
    <xf numFmtId="0" fontId="41" fillId="0" borderId="0" applyAlignment="1" pivotButton="0" quotePrefix="0" xfId="0">
      <alignment horizontal="left" vertical="center"/>
    </xf>
    <xf numFmtId="0" fontId="7" fillId="4" borderId="6" applyAlignment="1" pivotButton="0" quotePrefix="0" xfId="0">
      <alignment horizontal="center" vertical="center" wrapText="1"/>
    </xf>
    <xf numFmtId="0" fontId="42" fillId="7" borderId="6" applyAlignment="1" pivotButton="0" quotePrefix="0" xfId="0">
      <alignment horizontal="left" vertical="center" wrapText="1"/>
    </xf>
    <xf numFmtId="0" fontId="42" fillId="7" borderId="6" applyAlignment="1" pivotButton="0" quotePrefix="0" xfId="0">
      <alignment horizontal="center" vertical="center"/>
    </xf>
    <xf numFmtId="0" fontId="42" fillId="5" borderId="6" applyAlignment="1" pivotButton="0" quotePrefix="0" xfId="0">
      <alignment horizontal="left" vertical="center" wrapText="1"/>
    </xf>
    <xf numFmtId="0" fontId="42" fillId="5" borderId="6" applyAlignment="1" pivotButton="0" quotePrefix="0" xfId="0">
      <alignment horizontal="center" vertical="center"/>
    </xf>
    <xf numFmtId="0" fontId="44" fillId="7" borderId="6" applyAlignment="1" pivotButton="0" quotePrefix="0" xfId="0">
      <alignment horizontal="center" vertical="center"/>
    </xf>
    <xf numFmtId="0" fontId="44" fillId="7" borderId="6" applyAlignment="1" pivotButton="0" quotePrefix="0" xfId="0">
      <alignment horizontal="left" vertical="center" wrapText="1"/>
    </xf>
    <xf numFmtId="0" fontId="44" fillId="5" borderId="6" applyAlignment="1" pivotButton="0" quotePrefix="0" xfId="0">
      <alignment horizontal="center" vertical="center"/>
    </xf>
    <xf numFmtId="0" fontId="44" fillId="5" borderId="6" applyAlignment="1" pivotButton="0" quotePrefix="0" xfId="0">
      <alignment horizontal="left" vertical="center" wrapText="1"/>
    </xf>
    <xf numFmtId="0" fontId="45" fillId="7" borderId="6" applyAlignment="1" pivotButton="0" quotePrefix="0" xfId="0">
      <alignment horizontal="left" vertical="center" wrapText="1"/>
    </xf>
    <xf numFmtId="0" fontId="45" fillId="5" borderId="6" applyAlignment="1" pivotButton="0" quotePrefix="0" xfId="0">
      <alignment horizontal="left" vertical="center" wrapText="1"/>
    </xf>
    <xf numFmtId="0" fontId="41" fillId="0" borderId="0" applyAlignment="1" pivotButton="0" quotePrefix="0" xfId="0">
      <alignment horizontal="left" vertical="center" wrapText="1"/>
    </xf>
    <xf numFmtId="0" fontId="42" fillId="5" borderId="6" applyAlignment="1" pivotButton="0" quotePrefix="0" xfId="0">
      <alignment horizontal="left" vertical="center"/>
    </xf>
    <xf numFmtId="0" fontId="44" fillId="5" borderId="6" applyAlignment="1" pivotButton="0" quotePrefix="0" xfId="0">
      <alignment horizontal="left" vertical="center"/>
    </xf>
    <xf numFmtId="0" fontId="45" fillId="31" borderId="6" applyAlignment="1" pivotButton="0" quotePrefix="0" xfId="0">
      <alignment horizontal="left" vertical="center"/>
    </xf>
    <xf numFmtId="0" fontId="45" fillId="31" borderId="6" applyAlignment="1" pivotButton="0" quotePrefix="0" xfId="0">
      <alignment horizontal="center" vertical="center"/>
    </xf>
    <xf numFmtId="0" fontId="44" fillId="31" borderId="6" applyAlignment="1" pivotButton="0" quotePrefix="0" xfId="0">
      <alignment horizontal="left" vertical="center"/>
    </xf>
    <xf numFmtId="0" fontId="45" fillId="12" borderId="6" applyAlignment="1" pivotButton="0" quotePrefix="0" xfId="0">
      <alignment horizontal="left" vertical="center"/>
    </xf>
    <xf numFmtId="0" fontId="45" fillId="12" borderId="6" applyAlignment="1" pivotButton="0" quotePrefix="0" xfId="0">
      <alignment horizontal="center" vertical="center"/>
    </xf>
    <xf numFmtId="0" fontId="44" fillId="12" borderId="6" applyAlignment="1" pivotButton="0" quotePrefix="0" xfId="0">
      <alignment horizontal="left" vertical="center"/>
    </xf>
    <xf numFmtId="0" fontId="48" fillId="8" borderId="6" applyAlignment="1" pivotButton="0" quotePrefix="0" xfId="0">
      <alignment horizontal="left" vertical="center"/>
    </xf>
    <xf numFmtId="0" fontId="45" fillId="8" borderId="6" applyAlignment="1" pivotButton="0" quotePrefix="0" xfId="0">
      <alignment horizontal="center" vertical="center"/>
    </xf>
    <xf numFmtId="0" fontId="44" fillId="8" borderId="6" applyAlignment="1" pivotButton="0" quotePrefix="0" xfId="0">
      <alignment horizontal="left" vertical="center"/>
    </xf>
    <xf numFmtId="0" fontId="45" fillId="10" borderId="6" applyAlignment="1" pivotButton="0" quotePrefix="0" xfId="0">
      <alignment horizontal="left" vertical="center"/>
    </xf>
    <xf numFmtId="0" fontId="45" fillId="10" borderId="6" applyAlignment="1" pivotButton="0" quotePrefix="0" xfId="0">
      <alignment horizontal="center" vertical="center"/>
    </xf>
    <xf numFmtId="0" fontId="44" fillId="10" borderId="6" applyAlignment="1" pivotButton="0" quotePrefix="0" xfId="0">
      <alignment horizontal="left" vertical="center"/>
    </xf>
    <xf numFmtId="0" fontId="7" fillId="4" borderId="6" applyAlignment="1" pivotButton="0" quotePrefix="0" xfId="0">
      <alignment horizontal="center" vertical="center"/>
    </xf>
    <xf numFmtId="0" fontId="42" fillId="5" borderId="6" applyAlignment="1" pivotButton="0" quotePrefix="0" xfId="0">
      <alignment horizontal="right" vertical="center" wrapText="1"/>
    </xf>
    <xf numFmtId="0" fontId="7" fillId="32" borderId="2" applyAlignment="1" pivotButton="0" quotePrefix="0" xfId="0">
      <alignment horizontal="center" vertical="center" wrapText="1"/>
    </xf>
    <xf numFmtId="0" fontId="0" fillId="33" borderId="0" pivotButton="0" quotePrefix="0" xfId="0"/>
    <xf numFmtId="0" fontId="7" fillId="4" borderId="2" applyAlignment="1" pivotButton="0" quotePrefix="0" xfId="0">
      <alignment horizontal="center" vertical="center" wrapText="1"/>
    </xf>
    <xf numFmtId="0" fontId="7" fillId="4" borderId="2" applyAlignment="1" pivotButton="0" quotePrefix="0" xfId="0">
      <alignment horizontal="left" vertical="center"/>
    </xf>
    <xf numFmtId="0" fontId="7" fillId="4" borderId="2" applyAlignment="1" pivotButton="0" quotePrefix="0" xfId="0">
      <alignment horizontal="center" vertical="center"/>
    </xf>
    <xf numFmtId="0" fontId="0" fillId="4" borderId="2" applyAlignment="1" pivotButton="0" quotePrefix="0" xfId="0">
      <alignment horizontal="center" vertical="center"/>
    </xf>
    <xf numFmtId="0" fontId="0" fillId="4" borderId="2" pivotButton="0" quotePrefix="0" xfId="0"/>
    <xf numFmtId="0" fontId="52" fillId="7" borderId="2" applyAlignment="1" pivotButton="0" quotePrefix="0" xfId="0">
      <alignment horizontal="center" vertical="center" wrapText="1"/>
    </xf>
    <xf numFmtId="0" fontId="42" fillId="5" borderId="2" applyAlignment="1" pivotButton="0" quotePrefix="0" xfId="0">
      <alignment horizontal="left" vertical="center"/>
    </xf>
    <xf numFmtId="0" fontId="52" fillId="7" borderId="2" applyAlignment="1" pivotButton="0" quotePrefix="0" xfId="0">
      <alignment horizontal="center" vertical="center"/>
    </xf>
    <xf numFmtId="0" fontId="0" fillId="34" borderId="2" pivotButton="0" quotePrefix="0" xfId="0"/>
    <xf numFmtId="0" fontId="53" fillId="12" borderId="2" applyAlignment="1" pivotButton="0" quotePrefix="0" xfId="0">
      <alignment horizontal="left" vertical="center"/>
    </xf>
    <xf numFmtId="0" fontId="53" fillId="12" borderId="2" applyAlignment="1" pivotButton="0" quotePrefix="0" xfId="0">
      <alignment horizontal="center" vertical="center"/>
    </xf>
    <xf numFmtId="0" fontId="53" fillId="12" borderId="2" applyAlignment="1" pivotButton="0" quotePrefix="0" xfId="0">
      <alignment horizontal="center" vertical="center" wrapText="1"/>
    </xf>
    <xf numFmtId="0" fontId="54" fillId="35" borderId="2" applyAlignment="1" pivotButton="0" quotePrefix="0" xfId="0">
      <alignment horizontal="center" vertical="center"/>
    </xf>
    <xf numFmtId="0" fontId="7" fillId="36" borderId="2" applyAlignment="1" pivotButton="0" quotePrefix="0" xfId="0">
      <alignment horizontal="center" vertical="center" wrapText="1"/>
    </xf>
    <xf numFmtId="0" fontId="7" fillId="36" borderId="2" applyAlignment="1" pivotButton="0" quotePrefix="0" xfId="0">
      <alignment horizontal="left" vertical="center"/>
    </xf>
    <xf numFmtId="0" fontId="7" fillId="36" borderId="2" applyAlignment="1" pivotButton="0" quotePrefix="0" xfId="0">
      <alignment horizontal="center" vertical="center"/>
    </xf>
    <xf numFmtId="0" fontId="0" fillId="36" borderId="2" applyAlignment="1" pivotButton="0" quotePrefix="0" xfId="0">
      <alignment horizontal="center" vertical="center"/>
    </xf>
    <xf numFmtId="0" fontId="0" fillId="36" borderId="2" pivotButton="0" quotePrefix="0" xfId="0"/>
    <xf numFmtId="0" fontId="7" fillId="37" borderId="2" applyAlignment="1" pivotButton="0" quotePrefix="0" xfId="0">
      <alignment horizontal="center" vertical="center" wrapText="1"/>
    </xf>
    <xf numFmtId="0" fontId="7" fillId="37" borderId="2" applyAlignment="1" pivotButton="0" quotePrefix="0" xfId="0">
      <alignment horizontal="left" vertical="center"/>
    </xf>
    <xf numFmtId="0" fontId="7" fillId="37" borderId="2" applyAlignment="1" pivotButton="0" quotePrefix="0" xfId="0">
      <alignment horizontal="center" vertical="center"/>
    </xf>
    <xf numFmtId="0" fontId="0" fillId="37" borderId="2" pivotButton="0" quotePrefix="0" xfId="0"/>
    <xf numFmtId="0" fontId="0" fillId="37" borderId="2" applyAlignment="1" pivotButton="0" quotePrefix="0" xfId="0">
      <alignment horizontal="center" vertical="center"/>
    </xf>
    <xf numFmtId="0" fontId="7" fillId="38" borderId="2" applyAlignment="1" pivotButton="0" quotePrefix="0" xfId="0">
      <alignment horizontal="center" vertical="center" wrapText="1"/>
    </xf>
    <xf numFmtId="0" fontId="7" fillId="38" borderId="2" applyAlignment="1" pivotButton="0" quotePrefix="0" xfId="0">
      <alignment horizontal="left" vertical="center"/>
    </xf>
    <xf numFmtId="0" fontId="7" fillId="38" borderId="2" applyAlignment="1" pivotButton="0" quotePrefix="0" xfId="0">
      <alignment horizontal="center" vertical="center"/>
    </xf>
    <xf numFmtId="0" fontId="0" fillId="38" borderId="2" pivotButton="0" quotePrefix="0" xfId="0"/>
    <xf numFmtId="0" fontId="0" fillId="38" borderId="2" applyAlignment="1" pivotButton="0" quotePrefix="0" xfId="0">
      <alignment horizontal="center" vertical="center"/>
    </xf>
    <xf numFmtId="0" fontId="7" fillId="39" borderId="2" applyAlignment="1" pivotButton="0" quotePrefix="0" xfId="0">
      <alignment horizontal="center" vertical="center" wrapText="1"/>
    </xf>
    <xf numFmtId="0" fontId="7" fillId="39" borderId="2" applyAlignment="1" pivotButton="0" quotePrefix="0" xfId="0">
      <alignment horizontal="left" vertical="center"/>
    </xf>
    <xf numFmtId="0" fontId="7" fillId="39" borderId="2" applyAlignment="1" pivotButton="0" quotePrefix="0" xfId="0">
      <alignment horizontal="center" vertical="center"/>
    </xf>
    <xf numFmtId="0" fontId="0" fillId="39" borderId="2" pivotButton="0" quotePrefix="0" xfId="0"/>
    <xf numFmtId="0" fontId="7" fillId="35" borderId="2" applyAlignment="1" pivotButton="0" quotePrefix="0" xfId="0">
      <alignment horizontal="center" vertical="center" wrapText="1"/>
    </xf>
    <xf numFmtId="0" fontId="7" fillId="35" borderId="2" applyAlignment="1" pivotButton="0" quotePrefix="0" xfId="0">
      <alignment horizontal="left" vertical="center"/>
    </xf>
    <xf numFmtId="0" fontId="7" fillId="35" borderId="2" applyAlignment="1" pivotButton="0" quotePrefix="0" xfId="0">
      <alignment horizontal="center" vertical="center"/>
    </xf>
    <xf numFmtId="0" fontId="0" fillId="35" borderId="2" pivotButton="0" quotePrefix="0" xfId="0"/>
    <xf numFmtId="0" fontId="7" fillId="40" borderId="2" applyAlignment="1" pivotButton="0" quotePrefix="0" xfId="0">
      <alignment horizontal="center" vertical="center" wrapText="1"/>
    </xf>
    <xf numFmtId="0" fontId="7" fillId="40" borderId="2" applyAlignment="1" pivotButton="0" quotePrefix="0" xfId="0">
      <alignment horizontal="left" vertical="center"/>
    </xf>
    <xf numFmtId="0" fontId="7" fillId="40" borderId="2" applyAlignment="1" pivotButton="0" quotePrefix="0" xfId="0">
      <alignment horizontal="center" vertical="center"/>
    </xf>
    <xf numFmtId="0" fontId="0" fillId="40" borderId="2" pivotButton="0" quotePrefix="0" xfId="0"/>
    <xf numFmtId="0" fontId="0" fillId="40" borderId="2" applyAlignment="1" pivotButton="0" quotePrefix="0" xfId="0">
      <alignment horizontal="center" vertical="center"/>
    </xf>
    <xf numFmtId="0" fontId="7" fillId="41" borderId="2" applyAlignment="1" pivotButton="0" quotePrefix="0" xfId="0">
      <alignment horizontal="center" vertical="center" wrapText="1"/>
    </xf>
    <xf numFmtId="0" fontId="7" fillId="41" borderId="2" applyAlignment="1" pivotButton="0" quotePrefix="0" xfId="0">
      <alignment horizontal="left" vertical="center"/>
    </xf>
    <xf numFmtId="0" fontId="7" fillId="41" borderId="2" applyAlignment="1" pivotButton="0" quotePrefix="0" xfId="0">
      <alignment horizontal="center" vertical="center"/>
    </xf>
    <xf numFmtId="0" fontId="0" fillId="41" borderId="2" pivotButton="0" quotePrefix="0" xfId="0"/>
    <xf numFmtId="0" fontId="0" fillId="41" borderId="2" applyAlignment="1" pivotButton="0" quotePrefix="0" xfId="0">
      <alignment horizontal="center" vertical="center"/>
    </xf>
    <xf numFmtId="0" fontId="7" fillId="42" borderId="2" applyAlignment="1" pivotButton="0" quotePrefix="0" xfId="0">
      <alignment horizontal="center" vertical="center" wrapText="1"/>
    </xf>
    <xf numFmtId="0" fontId="7" fillId="42" borderId="2" applyAlignment="1" pivotButton="0" quotePrefix="0" xfId="0">
      <alignment horizontal="left" vertical="center"/>
    </xf>
    <xf numFmtId="0" fontId="7" fillId="42" borderId="2" applyAlignment="1" pivotButton="0" quotePrefix="0" xfId="0">
      <alignment horizontal="center" vertical="center"/>
    </xf>
    <xf numFmtId="0" fontId="0" fillId="42" borderId="2" pivotButton="0" quotePrefix="0" xfId="0"/>
    <xf numFmtId="0" fontId="0" fillId="42" borderId="2" applyAlignment="1" pivotButton="0" quotePrefix="0" xfId="0">
      <alignment horizontal="center" vertical="center"/>
    </xf>
    <xf numFmtId="0" fontId="55" fillId="0" borderId="2" applyAlignment="1" pivotButton="0" quotePrefix="0" xfId="0">
      <alignment horizontal="left" vertical="center"/>
    </xf>
    <xf numFmtId="0" fontId="61" fillId="0" borderId="0" applyAlignment="1" pivotButton="0" quotePrefix="0" xfId="0">
      <alignment horizontal="right" vertical="top"/>
    </xf>
    <xf numFmtId="0" fontId="59" fillId="0" borderId="0" applyAlignment="1" pivotButton="0" quotePrefix="0" xfId="0">
      <alignment horizontal="left" vertical="top" wrapText="1"/>
    </xf>
    <xf numFmtId="0" fontId="42" fillId="12" borderId="6" pivotButton="0" quotePrefix="0" xfId="0"/>
    <xf numFmtId="0" fontId="42" fillId="12" borderId="6" applyAlignment="1" pivotButton="0" quotePrefix="0" xfId="0">
      <alignment horizontal="left" vertical="center" wrapText="1"/>
    </xf>
    <xf numFmtId="0" fontId="42" fillId="12" borderId="6" applyAlignment="1" pivotButton="0" quotePrefix="0" xfId="0">
      <alignment horizontal="center" vertical="center"/>
    </xf>
    <xf numFmtId="3" fontId="42" fillId="12" borderId="6" applyAlignment="1" pivotButton="0" quotePrefix="0" xfId="0">
      <alignment horizontal="right" vertical="center"/>
    </xf>
    <xf numFmtId="3" fontId="52" fillId="7" borderId="6" applyAlignment="1" pivotButton="0" quotePrefix="0" xfId="0">
      <alignment horizontal="right" vertical="center"/>
    </xf>
    <xf numFmtId="3" fontId="45" fillId="7" borderId="6" applyAlignment="1" pivotButton="0" quotePrefix="0" xfId="0">
      <alignment horizontal="right" vertical="center"/>
    </xf>
    <xf numFmtId="0" fontId="68" fillId="12" borderId="6" applyAlignment="1" pivotButton="0" quotePrefix="0" xfId="0">
      <alignment horizontal="center" vertical="center"/>
    </xf>
    <xf numFmtId="0" fontId="45" fillId="7" borderId="6" applyAlignment="1" pivotButton="0" quotePrefix="0" xfId="0">
      <alignment horizontal="center" vertical="center"/>
    </xf>
    <xf numFmtId="0" fontId="45" fillId="5" borderId="6" applyAlignment="1" pivotButton="0" quotePrefix="0" xfId="0">
      <alignment horizontal="center" vertical="center"/>
    </xf>
    <xf numFmtId="0" fontId="7" fillId="43" borderId="6" applyAlignment="1" pivotButton="0" quotePrefix="0" xfId="0">
      <alignment horizontal="center" vertical="center" wrapText="1"/>
    </xf>
    <xf numFmtId="0" fontId="0" fillId="0" borderId="6" pivotButton="0" quotePrefix="0" xfId="0"/>
    <xf numFmtId="3" fontId="7" fillId="3" borderId="6" applyAlignment="1" pivotButton="0" quotePrefix="0" xfId="0">
      <alignment horizontal="right" vertical="center"/>
    </xf>
    <xf numFmtId="0" fontId="7" fillId="29" borderId="6" applyAlignment="1" pivotButton="0" quotePrefix="0" xfId="0">
      <alignment horizontal="center" vertical="center"/>
    </xf>
    <xf numFmtId="3" fontId="7" fillId="29" borderId="6" applyAlignment="1" pivotButton="0" quotePrefix="0" xfId="0">
      <alignment horizontal="right" vertical="center"/>
    </xf>
    <xf numFmtId="0" fontId="0" fillId="3" borderId="6" pivotButton="0" quotePrefix="0" xfId="0"/>
    <xf numFmtId="0" fontId="42" fillId="0" borderId="6" applyAlignment="1" pivotButton="0" quotePrefix="0" xfId="0">
      <alignment horizontal="left" vertical="center" wrapText="1"/>
    </xf>
    <xf numFmtId="0" fontId="55" fillId="7" borderId="6" applyAlignment="1" pivotButton="0" quotePrefix="0" xfId="0">
      <alignment horizontal="center" vertical="center"/>
    </xf>
    <xf numFmtId="3" fontId="42" fillId="0" borderId="6" applyAlignment="1" pivotButton="0" quotePrefix="0" xfId="0">
      <alignment horizontal="right" vertical="center"/>
    </xf>
    <xf numFmtId="0" fontId="46" fillId="8" borderId="6" applyAlignment="1" pivotButton="0" quotePrefix="0" xfId="0">
      <alignment horizontal="center" vertical="center"/>
    </xf>
    <xf numFmtId="3" fontId="46" fillId="8" borderId="6" applyAlignment="1" pivotButton="0" quotePrefix="0" xfId="0">
      <alignment horizontal="right" vertical="center"/>
    </xf>
    <xf numFmtId="0" fontId="55" fillId="5" borderId="6" applyAlignment="1" pivotButton="0" quotePrefix="0" xfId="0">
      <alignment horizontal="center" vertical="center"/>
    </xf>
    <xf numFmtId="0" fontId="7" fillId="3" borderId="6" applyAlignment="1" pivotButton="0" quotePrefix="0" xfId="0">
      <alignment horizontal="center" vertical="center"/>
    </xf>
    <xf numFmtId="0" fontId="71" fillId="7" borderId="6" applyAlignment="1" pivotButton="0" quotePrefix="0" xfId="0">
      <alignment horizontal="center" vertical="center"/>
    </xf>
    <xf numFmtId="3" fontId="71" fillId="7" borderId="6" applyAlignment="1" pivotButton="0" quotePrefix="0" xfId="0">
      <alignment horizontal="right" vertical="center"/>
    </xf>
    <xf numFmtId="0" fontId="75" fillId="14" borderId="4" applyAlignment="1" pivotButton="0" quotePrefix="0" xfId="0">
      <alignment horizontal="center" vertical="center" wrapText="1"/>
    </xf>
    <xf numFmtId="10" fontId="76" fillId="0" borderId="4" applyAlignment="1" pivotButton="0" quotePrefix="0" xfId="0">
      <alignment horizontal="center" vertical="center"/>
    </xf>
    <xf numFmtId="0" fontId="77" fillId="0" borderId="4" applyAlignment="1" pivotButton="0" quotePrefix="0" xfId="0">
      <alignment horizontal="left" vertical="center" wrapText="1"/>
    </xf>
    <xf numFmtId="0" fontId="76" fillId="0" borderId="4" applyAlignment="1" pivotButton="0" quotePrefix="0" xfId="0">
      <alignment horizontal="center" vertical="center" wrapText="1"/>
    </xf>
    <xf numFmtId="0" fontId="76" fillId="10" borderId="4" applyAlignment="1" pivotButton="0" quotePrefix="0" xfId="0">
      <alignment horizontal="left" vertical="center" wrapText="1"/>
    </xf>
    <xf numFmtId="0" fontId="76" fillId="10" borderId="4" applyAlignment="1" pivotButton="0" quotePrefix="0" xfId="0">
      <alignment horizontal="center" vertical="center" wrapText="1"/>
    </xf>
    <xf numFmtId="0" fontId="76" fillId="17" borderId="4" applyAlignment="1" pivotButton="0" quotePrefix="0" xfId="0">
      <alignment horizontal="left" vertical="center" wrapText="1"/>
    </xf>
    <xf numFmtId="0" fontId="75" fillId="12" borderId="4" applyAlignment="1" pivotButton="0" quotePrefix="0" xfId="0">
      <alignment horizontal="left" vertical="center" wrapText="1"/>
    </xf>
    <xf numFmtId="0" fontId="75" fillId="18" borderId="4" applyAlignment="1" pivotButton="0" quotePrefix="0" xfId="0">
      <alignment horizontal="left" vertical="center" wrapText="1"/>
    </xf>
    <xf numFmtId="0" fontId="45" fillId="5" borderId="4" applyAlignment="1" pivotButton="0" quotePrefix="0" xfId="0">
      <alignment vertical="center"/>
    </xf>
    <xf numFmtId="3" fontId="79" fillId="5" borderId="4" applyAlignment="1" pivotButton="0" quotePrefix="0" xfId="0">
      <alignment horizontal="center" vertical="center" wrapText="1"/>
    </xf>
    <xf numFmtId="3" fontId="52" fillId="5" borderId="4" applyAlignment="1" pivotButton="0" quotePrefix="0" xfId="0">
      <alignment horizontal="center" vertical="center" wrapText="1"/>
    </xf>
    <xf numFmtId="0" fontId="44" fillId="5" borderId="4" applyAlignment="1" pivotButton="0" quotePrefix="0" xfId="0">
      <alignment vertical="center"/>
    </xf>
    <xf numFmtId="0" fontId="79" fillId="5" borderId="4" applyAlignment="1" pivotButton="0" quotePrefix="0" xfId="0">
      <alignment horizontal="center" vertical="center" wrapText="1"/>
    </xf>
    <xf numFmtId="0" fontId="52" fillId="5" borderId="4" applyAlignment="1" pivotButton="0" quotePrefix="0" xfId="0">
      <alignment horizontal="center" vertical="center" wrapText="1"/>
    </xf>
    <xf numFmtId="0" fontId="7" fillId="43" borderId="4" applyAlignment="1" pivotButton="0" quotePrefix="0" xfId="0">
      <alignment horizontal="center" vertical="center" wrapText="1"/>
    </xf>
    <xf numFmtId="0" fontId="45" fillId="48" borderId="4" applyAlignment="1" pivotButton="0" quotePrefix="0" xfId="0">
      <alignment vertical="center"/>
    </xf>
    <xf numFmtId="0" fontId="42" fillId="48" borderId="4" applyAlignment="1" pivotButton="0" quotePrefix="0" xfId="0">
      <alignment vertical="center"/>
    </xf>
    <xf numFmtId="0" fontId="80" fillId="12" borderId="4" applyAlignment="1" pivotButton="0" quotePrefix="0" xfId="0">
      <alignment horizontal="center" vertical="center" wrapText="1"/>
    </xf>
    <xf numFmtId="0" fontId="46" fillId="8" borderId="4" applyAlignment="1" pivotButton="0" quotePrefix="0" xfId="0">
      <alignment horizontal="center" vertical="center" wrapText="1"/>
    </xf>
    <xf numFmtId="0" fontId="42" fillId="48" borderId="4" applyAlignment="1" pivotButton="0" quotePrefix="0" xfId="0">
      <alignment vertical="center" wrapText="1"/>
    </xf>
    <xf numFmtId="0" fontId="42" fillId="5" borderId="4" applyAlignment="1" pivotButton="0" quotePrefix="0" xfId="0">
      <alignment vertical="center"/>
    </xf>
    <xf numFmtId="0" fontId="9" fillId="8" borderId="4" applyAlignment="1" pivotButton="0" quotePrefix="0" xfId="0">
      <alignment horizontal="center" vertical="center" wrapText="1"/>
    </xf>
    <xf numFmtId="0" fontId="53" fillId="49" borderId="4" applyAlignment="1" pivotButton="0" quotePrefix="0" xfId="0">
      <alignment horizontal="center" vertical="center" wrapText="1"/>
    </xf>
    <xf numFmtId="0" fontId="81" fillId="10" borderId="4" applyAlignment="1" pivotButton="0" quotePrefix="0" xfId="0">
      <alignment horizontal="center" vertical="center" wrapText="1"/>
    </xf>
    <xf numFmtId="0" fontId="82" fillId="46" borderId="4" applyAlignment="1" pivotButton="0" quotePrefix="0" xfId="0">
      <alignment horizontal="center" vertical="center" wrapText="1"/>
    </xf>
    <xf numFmtId="0" fontId="83" fillId="7" borderId="4" applyAlignment="1" pivotButton="0" quotePrefix="0" xfId="0">
      <alignment horizontal="center" vertical="center" wrapText="1"/>
    </xf>
    <xf numFmtId="0" fontId="7" fillId="29" borderId="4" applyAlignment="1" pivotButton="0" quotePrefix="0" xfId="0">
      <alignment horizontal="center" vertical="center" wrapText="1"/>
    </xf>
    <xf numFmtId="0" fontId="46" fillId="8" borderId="4" applyAlignment="1" pivotButton="0" quotePrefix="0" xfId="0">
      <alignment vertical="center"/>
    </xf>
    <xf numFmtId="0" fontId="44" fillId="46" borderId="4" applyAlignment="1" pivotButton="0" quotePrefix="0" xfId="0">
      <alignment vertical="center"/>
    </xf>
    <xf numFmtId="0" fontId="84" fillId="46" borderId="4" applyAlignment="1" pivotButton="0" quotePrefix="0" xfId="0">
      <alignment vertical="center"/>
    </xf>
    <xf numFmtId="0" fontId="7" fillId="16" borderId="4" applyAlignment="1" pivotButton="0" quotePrefix="0" xfId="0">
      <alignment horizontal="center" vertical="center" wrapText="1"/>
    </xf>
    <xf numFmtId="0" fontId="85" fillId="10" borderId="4" applyAlignment="1" pivotButton="0" quotePrefix="0" xfId="0">
      <alignment vertical="center"/>
    </xf>
    <xf numFmtId="0" fontId="86" fillId="51" borderId="4" applyAlignment="1" pivotButton="0" quotePrefix="0" xfId="0">
      <alignment horizontal="center" vertical="center" wrapText="1"/>
    </xf>
    <xf numFmtId="0" fontId="45" fillId="51" borderId="4" applyAlignment="1" pivotButton="0" quotePrefix="0" xfId="0">
      <alignment vertical="center"/>
    </xf>
    <xf numFmtId="0" fontId="87" fillId="14" borderId="4" applyAlignment="1" pivotButton="0" quotePrefix="0" xfId="0">
      <alignment horizontal="center" vertical="center" wrapText="1"/>
    </xf>
    <xf numFmtId="0" fontId="55" fillId="46" borderId="4" applyAlignment="1" pivotButton="0" quotePrefix="0" xfId="0">
      <alignment vertical="center"/>
    </xf>
    <xf numFmtId="0" fontId="85" fillId="23" borderId="4" applyAlignment="1" pivotButton="0" quotePrefix="0" xfId="0">
      <alignment horizontal="center" vertical="center" wrapText="1"/>
    </xf>
    <xf numFmtId="0" fontId="88" fillId="52" borderId="4" applyAlignment="1" pivotButton="0" quotePrefix="0" xfId="0">
      <alignment horizontal="center" vertical="center" wrapText="1"/>
    </xf>
    <xf numFmtId="0" fontId="42" fillId="52" borderId="4" applyAlignment="1" pivotButton="0" quotePrefix="0" xfId="0">
      <alignment vertical="center"/>
    </xf>
    <xf numFmtId="0" fontId="89" fillId="46" borderId="4" applyAlignment="1" pivotButton="0" quotePrefix="0" xfId="0">
      <alignment horizontal="center" vertical="center" wrapText="1"/>
    </xf>
    <xf numFmtId="0" fontId="90" fillId="10" borderId="4" applyAlignment="1" pivotButton="0" quotePrefix="0" xfId="0">
      <alignment horizontal="center" vertical="center" wrapText="1"/>
    </xf>
    <xf numFmtId="0" fontId="88" fillId="5" borderId="4" applyAlignment="1" pivotButton="0" quotePrefix="0" xfId="0">
      <alignment horizontal="center" vertical="center" wrapText="1"/>
    </xf>
    <xf numFmtId="0" fontId="86" fillId="17" borderId="4" applyAlignment="1" pivotButton="0" quotePrefix="0" xfId="0">
      <alignment horizontal="center" vertical="center" wrapText="1"/>
    </xf>
    <xf numFmtId="0" fontId="45" fillId="17" borderId="4" applyAlignment="1" pivotButton="0" quotePrefix="0" xfId="0">
      <alignment vertical="center"/>
    </xf>
    <xf numFmtId="0" fontId="86" fillId="53" borderId="4" applyAlignment="1" pivotButton="0" quotePrefix="0" xfId="0">
      <alignment horizontal="center" vertical="center" wrapText="1"/>
    </xf>
    <xf numFmtId="0" fontId="45" fillId="53" borderId="4" applyAlignment="1" pivotButton="0" quotePrefix="0" xfId="0">
      <alignment vertical="center"/>
    </xf>
    <xf numFmtId="0" fontId="86" fillId="54" borderId="4" applyAlignment="1" pivotButton="0" quotePrefix="0" xfId="0">
      <alignment horizontal="center" vertical="center" wrapText="1"/>
    </xf>
    <xf numFmtId="0" fontId="45" fillId="54" borderId="4" applyAlignment="1" pivotButton="0" quotePrefix="0" xfId="0">
      <alignment vertical="center"/>
    </xf>
    <xf numFmtId="0" fontId="86" fillId="23" borderId="4" applyAlignment="1" pivotButton="0" quotePrefix="0" xfId="0">
      <alignment horizontal="center" vertical="center" wrapText="1"/>
    </xf>
    <xf numFmtId="0" fontId="45" fillId="23" borderId="4" applyAlignment="1" pivotButton="0" quotePrefix="0" xfId="0">
      <alignment vertical="center"/>
    </xf>
    <xf numFmtId="0" fontId="86" fillId="55" borderId="4" applyAlignment="1" pivotButton="0" quotePrefix="0" xfId="0">
      <alignment horizontal="center" vertical="center" wrapText="1"/>
    </xf>
    <xf numFmtId="0" fontId="45" fillId="55" borderId="4" applyAlignment="1" pivotButton="0" quotePrefix="0" xfId="0">
      <alignment vertical="center"/>
    </xf>
    <xf numFmtId="0" fontId="86" fillId="19" borderId="4" applyAlignment="1" pivotButton="0" quotePrefix="0" xfId="0">
      <alignment horizontal="center" vertical="center" wrapText="1"/>
    </xf>
    <xf numFmtId="0" fontId="45" fillId="19" borderId="4" applyAlignment="1" pivotButton="0" quotePrefix="0" xfId="0">
      <alignment vertical="center"/>
    </xf>
    <xf numFmtId="0" fontId="7" fillId="40" borderId="4" applyAlignment="1" pivotButton="0" quotePrefix="0" xfId="0">
      <alignment horizontal="center" vertical="center" wrapText="1"/>
    </xf>
    <xf numFmtId="0" fontId="53" fillId="49" borderId="4" applyAlignment="1" pivotButton="0" quotePrefix="0" xfId="0">
      <alignment vertical="center"/>
    </xf>
    <xf numFmtId="0" fontId="91" fillId="12" borderId="4" applyAlignment="1" pivotButton="0" quotePrefix="0" xfId="0">
      <alignment vertical="center"/>
    </xf>
    <xf numFmtId="0" fontId="42" fillId="10" borderId="6" applyAlignment="1" pivotButton="0" quotePrefix="0" xfId="0">
      <alignment horizontal="center" vertical="center"/>
    </xf>
    <xf numFmtId="0" fontId="45" fillId="10" borderId="6" applyAlignment="1" pivotButton="0" quotePrefix="0" xfId="0">
      <alignment horizontal="left" vertical="center" wrapText="1"/>
    </xf>
    <xf numFmtId="0" fontId="42" fillId="10" borderId="6" applyAlignment="1" pivotButton="0" quotePrefix="0" xfId="0">
      <alignment horizontal="left" vertical="center" wrapText="1"/>
    </xf>
    <xf numFmtId="0" fontId="73" fillId="10" borderId="6" applyAlignment="1" pivotButton="0" quotePrefix="0" xfId="0">
      <alignment horizontal="left" vertical="center" wrapText="1"/>
    </xf>
    <xf numFmtId="0" fontId="44" fillId="12" borderId="6" applyAlignment="1" pivotButton="0" quotePrefix="0" xfId="0">
      <alignment horizontal="left" vertical="center" wrapText="1"/>
    </xf>
    <xf numFmtId="0" fontId="92" fillId="8" borderId="6" applyAlignment="1" pivotButton="0" quotePrefix="0" xfId="0">
      <alignment horizontal="left" vertical="center" wrapText="1"/>
    </xf>
    <xf numFmtId="0" fontId="93" fillId="5" borderId="0" applyProtection="1" pivotButton="0" quotePrefix="0" xfId="0">
      <protection locked="0" hidden="0"/>
    </xf>
    <xf numFmtId="0" fontId="94" fillId="5" borderId="0" applyProtection="1" pivotButton="0" quotePrefix="0" xfId="0">
      <protection locked="0" hidden="0"/>
    </xf>
    <xf numFmtId="0" fontId="95" fillId="5" borderId="0" applyProtection="1" pivotButton="0" quotePrefix="0" xfId="0">
      <protection locked="0" hidden="0"/>
    </xf>
    <xf numFmtId="0" fontId="96" fillId="2" borderId="0" applyProtection="1" pivotButton="0" quotePrefix="0" xfId="0">
      <protection locked="0" hidden="0"/>
    </xf>
    <xf numFmtId="0" fontId="94" fillId="2" borderId="0" applyAlignment="1" pivotButton="0" quotePrefix="0" xfId="0">
      <alignment horizontal="left"/>
    </xf>
    <xf numFmtId="0" fontId="97" fillId="5" borderId="0" applyProtection="1" pivotButton="0" quotePrefix="0" xfId="0">
      <protection locked="0" hidden="0"/>
    </xf>
    <xf numFmtId="0" fontId="96" fillId="5" borderId="0" applyProtection="1" pivotButton="0" quotePrefix="0" xfId="0">
      <protection locked="0" hidden="0"/>
    </xf>
    <xf numFmtId="0" fontId="98" fillId="5" borderId="0" applyProtection="1" pivotButton="0" quotePrefix="0" xfId="0">
      <protection locked="0" hidden="0"/>
    </xf>
    <xf numFmtId="0" fontId="94" fillId="5" borderId="0" applyAlignment="1" applyProtection="1" pivotButton="0" quotePrefix="0" xfId="0">
      <alignment horizontal="right"/>
      <protection locked="0" hidden="0"/>
    </xf>
    <xf numFmtId="0" fontId="94" fillId="2" borderId="0" applyAlignment="1" applyProtection="1" pivotButton="0" quotePrefix="0" xfId="0">
      <alignment horizontal="left"/>
      <protection locked="0" hidden="0"/>
    </xf>
    <xf numFmtId="0" fontId="99" fillId="58" borderId="11" applyAlignment="1" pivotButton="0" quotePrefix="0" xfId="0">
      <alignment horizontal="center"/>
    </xf>
    <xf numFmtId="0" fontId="99" fillId="58" borderId="11" applyAlignment="1" applyProtection="1" pivotButton="0" quotePrefix="0" xfId="0">
      <alignment horizontal="center"/>
      <protection locked="0" hidden="0"/>
    </xf>
    <xf numFmtId="0" fontId="99" fillId="57" borderId="0" applyAlignment="1" pivotButton="0" quotePrefix="0" xfId="0">
      <alignment horizontal="center"/>
    </xf>
    <xf numFmtId="0" fontId="101" fillId="57" borderId="10" applyAlignment="1" pivotButton="0" quotePrefix="0" xfId="0">
      <alignment horizontal="center"/>
    </xf>
    <xf numFmtId="17" fontId="99" fillId="58" borderId="11" applyAlignment="1" applyProtection="1" pivotButton="0" quotePrefix="0" xfId="0">
      <alignment horizontal="center" vertical="center"/>
      <protection locked="0" hidden="0"/>
    </xf>
    <xf numFmtId="17" fontId="99" fillId="57" borderId="0" applyAlignment="1" pivotButton="0" quotePrefix="0" xfId="0">
      <alignment horizontal="center" vertical="center"/>
    </xf>
    <xf numFmtId="1" fontId="99" fillId="58" borderId="11" applyAlignment="1" pivotButton="0" quotePrefix="0" xfId="0">
      <alignment horizontal="center" vertical="center"/>
    </xf>
    <xf numFmtId="17" fontId="99" fillId="58" borderId="11" applyAlignment="1" pivotButton="0" quotePrefix="0" xfId="0">
      <alignment horizontal="center" vertical="center"/>
    </xf>
    <xf numFmtId="17" fontId="101" fillId="57" borderId="10" applyAlignment="1" pivotButton="0" quotePrefix="0" xfId="0">
      <alignment horizontal="center" vertical="center"/>
    </xf>
    <xf numFmtId="9" fontId="96" fillId="5" borderId="0" applyProtection="1" pivotButton="0" quotePrefix="0" xfId="0">
      <protection locked="0" hidden="0"/>
    </xf>
    <xf numFmtId="0" fontId="94" fillId="2" borderId="0" pivotButton="0" quotePrefix="0" xfId="0"/>
    <xf numFmtId="0" fontId="105" fillId="5" borderId="0" applyProtection="1" pivotButton="0" quotePrefix="0" xfId="0">
      <protection locked="0" hidden="0"/>
    </xf>
    <xf numFmtId="0" fontId="99" fillId="61" borderId="11" applyAlignment="1" pivotButton="0" quotePrefix="0" xfId="0">
      <alignment horizontal="center"/>
    </xf>
    <xf numFmtId="0" fontId="99" fillId="61" borderId="0" applyAlignment="1" pivotButton="0" quotePrefix="0" xfId="0">
      <alignment horizontal="center"/>
    </xf>
    <xf numFmtId="0" fontId="101" fillId="61" borderId="10" applyAlignment="1" pivotButton="0" quotePrefix="0" xfId="0">
      <alignment horizontal="center"/>
    </xf>
    <xf numFmtId="17" fontId="99" fillId="61" borderId="0" applyAlignment="1" pivotButton="0" quotePrefix="0" xfId="0">
      <alignment horizontal="center" vertical="center"/>
    </xf>
    <xf numFmtId="17" fontId="99" fillId="61" borderId="11" applyAlignment="1" pivotButton="0" quotePrefix="0" xfId="0">
      <alignment horizontal="center" vertical="center"/>
    </xf>
    <xf numFmtId="17" fontId="99" fillId="61" borderId="20" applyAlignment="1" pivotButton="0" quotePrefix="0" xfId="0">
      <alignment horizontal="center" vertical="center"/>
    </xf>
    <xf numFmtId="17" fontId="101" fillId="61" borderId="21" applyAlignment="1" pivotButton="0" quotePrefix="0" xfId="0">
      <alignment horizontal="center" vertical="center"/>
    </xf>
    <xf numFmtId="9" fontId="94" fillId="5" borderId="0" applyProtection="1" pivotButton="0" quotePrefix="0" xfId="0">
      <protection locked="0" hidden="0"/>
    </xf>
    <xf numFmtId="0" fontId="94" fillId="5" borderId="0" pivotButton="0" quotePrefix="0" xfId="0"/>
    <xf numFmtId="0" fontId="99" fillId="62" borderId="0" applyAlignment="1" pivotButton="0" quotePrefix="0" xfId="0">
      <alignment horizontal="center"/>
    </xf>
    <xf numFmtId="0" fontId="101" fillId="62" borderId="10" applyAlignment="1" pivotButton="0" quotePrefix="0" xfId="0">
      <alignment horizontal="center"/>
    </xf>
    <xf numFmtId="17" fontId="99" fillId="62" borderId="0" applyAlignment="1" pivotButton="0" quotePrefix="0" xfId="0">
      <alignment horizontal="center" vertical="center"/>
    </xf>
    <xf numFmtId="17" fontId="101" fillId="62" borderId="10" applyAlignment="1" pivotButton="0" quotePrefix="0" xfId="0">
      <alignment horizontal="center" vertical="center"/>
    </xf>
    <xf numFmtId="0" fontId="45" fillId="63" borderId="6" applyAlignment="1" pivotButton="0" quotePrefix="0" xfId="0">
      <alignment horizontal="left" vertical="center" wrapText="1"/>
    </xf>
    <xf numFmtId="0" fontId="42" fillId="63" borderId="6" applyAlignment="1" pivotButton="0" quotePrefix="0" xfId="0">
      <alignment horizontal="center" vertical="center"/>
    </xf>
    <xf numFmtId="0" fontId="42" fillId="63" borderId="6" applyAlignment="1" pivotButton="0" quotePrefix="0" xfId="0">
      <alignment horizontal="left" vertical="center" wrapText="1"/>
    </xf>
    <xf numFmtId="0" fontId="109" fillId="0" borderId="0" pivotButton="0" quotePrefix="0" xfId="0"/>
    <xf numFmtId="0" fontId="110" fillId="64" borderId="23" applyAlignment="1" pivotButton="0" quotePrefix="0" xfId="0">
      <alignment horizontal="left" vertical="center" wrapText="1"/>
    </xf>
    <xf numFmtId="0" fontId="20" fillId="66" borderId="0" pivotButton="0" quotePrefix="0" xfId="0"/>
    <xf numFmtId="0" fontId="20" fillId="67" borderId="0" pivotButton="0" quotePrefix="0" xfId="0"/>
    <xf numFmtId="0" fontId="108" fillId="7" borderId="2" applyAlignment="1" pivotButton="0" quotePrefix="0" xfId="7">
      <alignment horizontal="left"/>
    </xf>
    <xf numFmtId="0" fontId="9" fillId="8" borderId="2" applyAlignment="1" pivotButton="0" quotePrefix="0" xfId="0">
      <alignment horizontal="center" wrapText="1"/>
    </xf>
    <xf numFmtId="0" fontId="10" fillId="7" borderId="2" applyAlignment="1" pivotButton="0" quotePrefix="0" xfId="0">
      <alignment horizontal="left" wrapText="1"/>
    </xf>
    <xf numFmtId="0" fontId="11" fillId="7" borderId="2" applyAlignment="1" pivotButton="0" quotePrefix="0" xfId="0">
      <alignment horizontal="left" wrapText="1"/>
    </xf>
    <xf numFmtId="0" fontId="108" fillId="5" borderId="2" applyAlignment="1" pivotButton="0" quotePrefix="0" xfId="7">
      <alignment horizontal="left"/>
    </xf>
    <xf numFmtId="0" fontId="10" fillId="5" borderId="2" applyAlignment="1" pivotButton="0" quotePrefix="0" xfId="0">
      <alignment horizontal="left" wrapText="1"/>
    </xf>
    <xf numFmtId="0" fontId="11" fillId="5" borderId="2" applyAlignment="1" pivotButton="0" quotePrefix="0" xfId="0">
      <alignment horizontal="left" wrapText="1"/>
    </xf>
    <xf numFmtId="0" fontId="12" fillId="6" borderId="2" applyAlignment="1" pivotButton="0" quotePrefix="0" xfId="0">
      <alignment horizontal="center" wrapText="1"/>
    </xf>
    <xf numFmtId="0" fontId="13" fillId="9" borderId="2" applyAlignment="1" pivotButton="0" quotePrefix="0" xfId="0">
      <alignment horizontal="center" wrapText="1"/>
    </xf>
    <xf numFmtId="0" fontId="14" fillId="10" borderId="2" applyAlignment="1" pivotButton="0" quotePrefix="0" xfId="0">
      <alignment horizontal="center" wrapText="1"/>
    </xf>
    <xf numFmtId="0" fontId="15" fillId="7" borderId="2" applyAlignment="1" pivotButton="0" quotePrefix="0" xfId="0">
      <alignment horizontal="center" wrapText="1"/>
    </xf>
    <xf numFmtId="0" fontId="20" fillId="68" borderId="3" applyAlignment="1" pivotButton="0" quotePrefix="0" xfId="0">
      <alignment horizontal="right"/>
    </xf>
    <xf numFmtId="0" fontId="20" fillId="68" borderId="3" applyAlignment="1" pivotButton="0" quotePrefix="0" xfId="0">
      <alignment horizontal="left" indent="1"/>
    </xf>
    <xf numFmtId="38" fontId="20" fillId="0" borderId="0" pivotButton="0" quotePrefix="0" xfId="0"/>
    <xf numFmtId="164" fontId="24" fillId="18" borderId="3" applyAlignment="1" pivotButton="0" quotePrefix="0" xfId="0">
      <alignment vertical="center" wrapText="1"/>
    </xf>
    <xf numFmtId="164" fontId="24" fillId="18" borderId="3" applyAlignment="1" pivotButton="0" quotePrefix="0" xfId="0">
      <alignment horizontal="center" vertical="center" wrapText="1"/>
    </xf>
    <xf numFmtId="165" fontId="24" fillId="18" borderId="3" applyAlignment="1" pivotButton="0" quotePrefix="0" xfId="0">
      <alignment vertical="center" wrapText="1"/>
    </xf>
    <xf numFmtId="164" fontId="20" fillId="0" borderId="3" pivotButton="0" quotePrefix="0" xfId="0"/>
    <xf numFmtId="165" fontId="20" fillId="0" borderId="3" applyAlignment="1" pivotButton="0" quotePrefix="0" xfId="0">
      <alignment horizontal="center" vertical="center"/>
    </xf>
    <xf numFmtId="165" fontId="20" fillId="0" borderId="3" pivotButton="0" quotePrefix="0" xfId="0"/>
    <xf numFmtId="164" fontId="20" fillId="18" borderId="3" pivotButton="0" quotePrefix="0" xfId="0"/>
    <xf numFmtId="164" fontId="30" fillId="14" borderId="3" pivotButton="0" quotePrefix="0" xfId="0"/>
    <xf numFmtId="164" fontId="20" fillId="12" borderId="3" pivotButton="0" quotePrefix="0" xfId="0"/>
    <xf numFmtId="164" fontId="110" fillId="65" borderId="23" applyAlignment="1" pivotButton="0" quotePrefix="0" xfId="0">
      <alignment horizontal="left" vertical="center"/>
    </xf>
    <xf numFmtId="164" fontId="109" fillId="65" borderId="23" applyAlignment="1" pivotButton="0" quotePrefix="0" xfId="0">
      <alignment horizontal="left" vertical="center"/>
    </xf>
    <xf numFmtId="166" fontId="24" fillId="18" borderId="3" applyAlignment="1" pivotButton="0" quotePrefix="0" xfId="0">
      <alignment vertical="center" wrapText="1"/>
    </xf>
    <xf numFmtId="166" fontId="24" fillId="18" borderId="0" pivotButton="0" quotePrefix="0" xfId="0"/>
    <xf numFmtId="166" fontId="20" fillId="0" borderId="3" pivotButton="0" quotePrefix="0" xfId="0"/>
    <xf numFmtId="166" fontId="20" fillId="0" borderId="0" pivotButton="0" quotePrefix="0" xfId="0"/>
    <xf numFmtId="166" fontId="24" fillId="18" borderId="3" pivotButton="0" quotePrefix="0" xfId="0"/>
    <xf numFmtId="166" fontId="34" fillId="13" borderId="0" pivotButton="0" quotePrefix="0" xfId="0"/>
    <xf numFmtId="167" fontId="35" fillId="18" borderId="3" applyAlignment="1" pivotButton="0" quotePrefix="0" xfId="0">
      <alignment horizontal="center"/>
    </xf>
    <xf numFmtId="167" fontId="35" fillId="18" borderId="0" applyAlignment="1" pivotButton="0" quotePrefix="0" xfId="0">
      <alignment horizontal="center"/>
    </xf>
    <xf numFmtId="167" fontId="35" fillId="0" borderId="0" applyAlignment="1" pivotButton="0" quotePrefix="0" xfId="0">
      <alignment horizontal="center"/>
    </xf>
    <xf numFmtId="167" fontId="35" fillId="0" borderId="3" applyAlignment="1" pivotButton="0" quotePrefix="0" xfId="0">
      <alignment horizontal="center"/>
    </xf>
    <xf numFmtId="166" fontId="24" fillId="7" borderId="0" pivotButton="0" quotePrefix="0" xfId="0"/>
    <xf numFmtId="166" fontId="20" fillId="7" borderId="0" pivotButton="0" quotePrefix="0" xfId="0"/>
    <xf numFmtId="164" fontId="20" fillId="68" borderId="3" pivotButton="0" quotePrefix="0" xfId="0"/>
    <xf numFmtId="166" fontId="24" fillId="14" borderId="0" pivotButton="0" quotePrefix="0" xfId="0"/>
    <xf numFmtId="164" fontId="41" fillId="5" borderId="6" applyAlignment="1" pivotButton="0" quotePrefix="0" xfId="0">
      <alignment horizontal="right" vertical="center" wrapText="1"/>
    </xf>
    <xf numFmtId="164" fontId="47" fillId="31" borderId="6" applyAlignment="1" pivotButton="0" quotePrefix="0" xfId="0">
      <alignment horizontal="right" vertical="center" wrapText="1"/>
    </xf>
    <xf numFmtId="164" fontId="47" fillId="12" borderId="6" applyAlignment="1" pivotButton="0" quotePrefix="0" xfId="0">
      <alignment horizontal="right" vertical="center" wrapText="1"/>
    </xf>
    <xf numFmtId="164" fontId="37" fillId="0" borderId="0" applyAlignment="1" pivotButton="0" quotePrefix="0" xfId="0">
      <alignment horizontal="left" vertical="top"/>
    </xf>
    <xf numFmtId="164" fontId="49" fillId="8" borderId="6" applyAlignment="1" pivotButton="0" quotePrefix="0" xfId="0">
      <alignment horizontal="right" vertical="center" wrapText="1"/>
    </xf>
    <xf numFmtId="164" fontId="47" fillId="10" borderId="6" applyAlignment="1" pivotButton="0" quotePrefix="0" xfId="0">
      <alignment horizontal="right" vertical="center" wrapText="1"/>
    </xf>
    <xf numFmtId="166" fontId="96" fillId="5" borderId="0" applyProtection="1" pivotButton="0" quotePrefix="0" xfId="0">
      <protection locked="0" hidden="0"/>
    </xf>
    <xf numFmtId="164" fontId="94" fillId="5" borderId="0" applyProtection="1" pivotButton="0" quotePrefix="0" xfId="0">
      <protection locked="0" hidden="0"/>
    </xf>
    <xf numFmtId="0" fontId="112" fillId="0" borderId="0" applyAlignment="1" pivotButton="0" quotePrefix="0" xfId="0">
      <alignment vertical="center"/>
    </xf>
    <xf numFmtId="0" fontId="0" fillId="0" borderId="0" applyAlignment="1" pivotButton="0" quotePrefix="0" xfId="0">
      <alignment wrapText="1"/>
    </xf>
    <xf numFmtId="0" fontId="37" fillId="0" borderId="0" applyAlignment="1" pivotButton="0" quotePrefix="0" xfId="0">
      <alignment horizontal="left" vertical="top"/>
    </xf>
    <xf numFmtId="0" fontId="37" fillId="0" borderId="0" applyAlignment="1" pivotButton="0" quotePrefix="0" xfId="0">
      <alignment horizontal="left" vertical="top" wrapText="1"/>
    </xf>
    <xf numFmtId="0" fontId="45" fillId="0" borderId="0" pivotButton="0" quotePrefix="0" xfId="0"/>
    <xf numFmtId="0" fontId="42" fillId="0" borderId="0" pivotButton="0" quotePrefix="0" xfId="0"/>
    <xf numFmtId="0" fontId="7" fillId="3" borderId="6" applyAlignment="1" pivotButton="0" quotePrefix="0" xfId="0">
      <alignment horizontal="center" vertical="center" wrapText="1"/>
    </xf>
    <xf numFmtId="0" fontId="7" fillId="3" borderId="6" applyAlignment="1" pivotButton="0" quotePrefix="0" xfId="0">
      <alignment horizontal="left" vertical="center"/>
    </xf>
    <xf numFmtId="0" fontId="76" fillId="0" borderId="4" applyAlignment="1" pivotButton="0" quotePrefix="0" xfId="0">
      <alignment horizontal="left" vertical="center" wrapText="1"/>
    </xf>
    <xf numFmtId="0" fontId="20" fillId="0" borderId="0" pivotButton="0" quotePrefix="0" xfId="0"/>
    <xf numFmtId="0" fontId="20" fillId="0" borderId="0" applyAlignment="1" pivotButton="0" quotePrefix="0" xfId="0">
      <alignment wrapText="1"/>
    </xf>
    <xf numFmtId="0" fontId="7" fillId="47" borderId="4" applyAlignment="1" pivotButton="0" quotePrefix="0" xfId="0">
      <alignment horizontal="center" vertical="center" wrapText="1"/>
    </xf>
    <xf numFmtId="0" fontId="0" fillId="0" borderId="0" applyAlignment="1" pivotButton="0" quotePrefix="0" xfId="0">
      <alignment vertical="center"/>
    </xf>
    <xf numFmtId="0" fontId="100" fillId="5" borderId="0" applyAlignment="1" applyProtection="1" pivotButton="0" quotePrefix="0" xfId="0">
      <alignment horizontal="center"/>
      <protection locked="0" hidden="0"/>
    </xf>
    <xf numFmtId="0" fontId="114" fillId="0" borderId="0" applyAlignment="1" pivotButton="0" quotePrefix="0" xfId="0">
      <alignment horizontal="justify" vertical="center"/>
    </xf>
    <xf numFmtId="0" fontId="0" fillId="71" borderId="0" pivotButton="0" quotePrefix="0" xfId="0"/>
    <xf numFmtId="0" fontId="118" fillId="72" borderId="27" applyAlignment="1" pivotButton="0" quotePrefix="0" xfId="0">
      <alignment horizontal="center" vertical="center"/>
    </xf>
    <xf numFmtId="0" fontId="119" fillId="75" borderId="27" applyAlignment="1" pivotButton="0" quotePrefix="0" xfId="0">
      <alignment horizontal="center" vertical="center" wrapText="1"/>
    </xf>
    <xf numFmtId="0" fontId="119" fillId="76" borderId="27" applyAlignment="1" pivotButton="0" quotePrefix="0" xfId="0">
      <alignment horizontal="center" vertical="center" wrapText="1"/>
    </xf>
    <xf numFmtId="0" fontId="115" fillId="77" borderId="27" applyAlignment="1" pivotButton="0" quotePrefix="0" xfId="0">
      <alignment horizontal="center" vertical="center"/>
    </xf>
    <xf numFmtId="0" fontId="115" fillId="78" borderId="27" applyAlignment="1" pivotButton="0" quotePrefix="0" xfId="0">
      <alignment horizontal="center" vertical="center"/>
    </xf>
    <xf numFmtId="0" fontId="115" fillId="79" borderId="27" applyAlignment="1" pivotButton="0" quotePrefix="0" xfId="0">
      <alignment horizontal="center" vertical="center"/>
    </xf>
    <xf numFmtId="0" fontId="115" fillId="80" borderId="27" applyAlignment="1" pivotButton="0" quotePrefix="0" xfId="0">
      <alignment horizontal="center" vertical="center"/>
    </xf>
    <xf numFmtId="0" fontId="115" fillId="81" borderId="27" applyAlignment="1" pivotButton="0" quotePrefix="0" xfId="0">
      <alignment horizontal="center" vertical="center"/>
    </xf>
    <xf numFmtId="168" fontId="7" fillId="4" borderId="6" applyAlignment="1" pivotButton="0" quotePrefix="0" xfId="0">
      <alignment horizontal="center" vertical="center" wrapText="1"/>
    </xf>
    <xf numFmtId="168" fontId="42" fillId="7" borderId="6" applyAlignment="1" pivotButton="0" quotePrefix="0" xfId="0">
      <alignment horizontal="center" vertical="center" wrapText="1"/>
    </xf>
    <xf numFmtId="168" fontId="42" fillId="7" borderId="6" applyAlignment="1" pivotButton="0" quotePrefix="0" xfId="0">
      <alignment horizontal="center" vertical="center"/>
    </xf>
    <xf numFmtId="168" fontId="42" fillId="5" borderId="6" applyAlignment="1" pivotButton="0" quotePrefix="0" xfId="0">
      <alignment horizontal="center" vertical="center" wrapText="1"/>
    </xf>
    <xf numFmtId="169" fontId="42" fillId="7" borderId="6" applyAlignment="1" pivotButton="0" quotePrefix="0" xfId="0">
      <alignment horizontal="right" vertical="center" wrapText="1"/>
    </xf>
    <xf numFmtId="169" fontId="42" fillId="7" borderId="6" applyAlignment="1" pivotButton="0" quotePrefix="0" xfId="0">
      <alignment horizontal="right" vertical="center"/>
    </xf>
    <xf numFmtId="169" fontId="42" fillId="5" borderId="6" applyAlignment="1" pivotButton="0" quotePrefix="0" xfId="0">
      <alignment horizontal="right" vertical="center" wrapText="1"/>
    </xf>
    <xf numFmtId="169" fontId="42" fillId="5" borderId="6" applyAlignment="1" pivotButton="0" quotePrefix="0" xfId="0">
      <alignment horizontal="right" vertical="center"/>
    </xf>
    <xf numFmtId="169" fontId="46" fillId="7" borderId="6" applyAlignment="1" pivotButton="0" quotePrefix="0" xfId="0">
      <alignment horizontal="right" vertical="center" wrapText="1"/>
    </xf>
    <xf numFmtId="169" fontId="46" fillId="5" borderId="6" applyAlignment="1" pivotButton="0" quotePrefix="0" xfId="0">
      <alignment horizontal="right" vertical="center"/>
    </xf>
    <xf numFmtId="170" fontId="42" fillId="5" borderId="6" applyAlignment="1" pivotButton="0" quotePrefix="0" xfId="0">
      <alignment horizontal="right" vertical="center"/>
    </xf>
    <xf numFmtId="170" fontId="45" fillId="31" borderId="6" applyAlignment="1" pivotButton="0" quotePrefix="0" xfId="0">
      <alignment horizontal="right" vertical="center"/>
    </xf>
    <xf numFmtId="170" fontId="45" fillId="12" borderId="6" applyAlignment="1" pivotButton="0" quotePrefix="0" xfId="0">
      <alignment horizontal="right" vertical="center"/>
    </xf>
    <xf numFmtId="170" fontId="45" fillId="8" borderId="6" applyAlignment="1" pivotButton="0" quotePrefix="0" xfId="0">
      <alignment horizontal="right" vertical="center"/>
    </xf>
    <xf numFmtId="170" fontId="45" fillId="10" borderId="6" applyAlignment="1" pivotButton="0" quotePrefix="0" xfId="0">
      <alignment horizontal="right" vertical="center"/>
    </xf>
    <xf numFmtId="169" fontId="47" fillId="12" borderId="0" pivotButton="0" quotePrefix="0" xfId="0"/>
    <xf numFmtId="169" fontId="49" fillId="0" borderId="0" pivotButton="0" quotePrefix="0" xfId="0"/>
    <xf numFmtId="171" fontId="42" fillId="12" borderId="6" pivotButton="0" quotePrefix="0" xfId="0"/>
    <xf numFmtId="169" fontId="40" fillId="3" borderId="0" applyAlignment="1" pivotButton="0" quotePrefix="0" xfId="0">
      <alignment horizontal="right" vertical="center"/>
    </xf>
    <xf numFmtId="169" fontId="69" fillId="8" borderId="0" pivotButton="0" quotePrefix="0" xfId="0"/>
    <xf numFmtId="169" fontId="47" fillId="0" borderId="0" pivotButton="0" quotePrefix="0" xfId="0"/>
    <xf numFmtId="170" fontId="47" fillId="12" borderId="0" pivotButton="0" quotePrefix="0" xfId="0"/>
    <xf numFmtId="169" fontId="70" fillId="0" borderId="0" pivotButton="0" quotePrefix="0" xfId="0"/>
    <xf numFmtId="169" fontId="40" fillId="3" borderId="6" applyAlignment="1" pivotButton="0" quotePrefix="0" xfId="0">
      <alignment horizontal="right" vertical="center"/>
    </xf>
    <xf numFmtId="169" fontId="40" fillId="29" borderId="6" applyAlignment="1" pivotButton="0" quotePrefix="0" xfId="0">
      <alignment horizontal="right" vertical="center"/>
    </xf>
    <xf numFmtId="169" fontId="45" fillId="0" borderId="0" pivotButton="0" quotePrefix="0" xfId="0"/>
    <xf numFmtId="169" fontId="76" fillId="10" borderId="4" applyAlignment="1" pivotButton="0" quotePrefix="0" xfId="0">
      <alignment horizontal="center" vertical="center" wrapText="1"/>
    </xf>
    <xf numFmtId="169" fontId="76" fillId="17" borderId="4" applyAlignment="1" pivotButton="0" quotePrefix="0" xfId="0">
      <alignment horizontal="right" vertical="center" wrapText="1"/>
    </xf>
    <xf numFmtId="169" fontId="75" fillId="12" borderId="4" applyAlignment="1" pivotButton="0" quotePrefix="0" xfId="0">
      <alignment horizontal="right" vertical="center" wrapText="1"/>
    </xf>
    <xf numFmtId="172" fontId="100" fillId="5" borderId="0" applyProtection="1" pivotButton="0" quotePrefix="0" xfId="0">
      <protection locked="0" hidden="0"/>
    </xf>
    <xf numFmtId="172" fontId="94" fillId="5" borderId="0" applyProtection="1" pivotButton="0" quotePrefix="0" xfId="0">
      <protection locked="0" hidden="0"/>
    </xf>
    <xf numFmtId="172" fontId="93" fillId="5" borderId="0" applyProtection="1" pivotButton="0" quotePrefix="0" xfId="0">
      <protection locked="0" hidden="0"/>
    </xf>
    <xf numFmtId="172" fontId="93" fillId="5" borderId="0" pivotButton="0" quotePrefix="0" xfId="0"/>
    <xf numFmtId="172" fontId="102" fillId="59" borderId="12" applyAlignment="1" applyProtection="1" pivotButton="0" quotePrefix="0" xfId="0">
      <alignment horizontal="center" vertical="center"/>
      <protection locked="0" hidden="0"/>
    </xf>
    <xf numFmtId="173" fontId="95" fillId="58" borderId="6" pivotButton="0" quotePrefix="0" xfId="0"/>
    <xf numFmtId="173" fontId="95" fillId="59" borderId="12" applyProtection="1" pivotButton="0" quotePrefix="0" xfId="0">
      <protection locked="0" hidden="0"/>
    </xf>
    <xf numFmtId="173" fontId="95" fillId="58" borderId="6" applyProtection="1" pivotButton="0" quotePrefix="0" xfId="0">
      <protection locked="0" hidden="0"/>
    </xf>
    <xf numFmtId="173" fontId="95" fillId="59" borderId="12" pivotButton="0" quotePrefix="0" xfId="0"/>
    <xf numFmtId="173" fontId="103" fillId="59" borderId="13" pivotButton="0" quotePrefix="0" xfId="0"/>
    <xf numFmtId="172" fontId="96" fillId="5" borderId="0" applyProtection="1" pivotButton="0" quotePrefix="0" xfId="0">
      <protection locked="0" hidden="0"/>
    </xf>
    <xf numFmtId="172" fontId="95" fillId="60" borderId="12" applyProtection="1" pivotButton="0" quotePrefix="0" xfId="0">
      <protection locked="0" hidden="0"/>
    </xf>
    <xf numFmtId="173" fontId="96" fillId="58" borderId="6" pivotButton="0" quotePrefix="0" xfId="0"/>
    <xf numFmtId="173" fontId="96" fillId="60" borderId="12" pivotButton="0" quotePrefix="0" xfId="0"/>
    <xf numFmtId="174" fontId="103" fillId="60" borderId="13" pivotButton="0" quotePrefix="0" xfId="0"/>
    <xf numFmtId="172" fontId="94" fillId="5" borderId="14" applyProtection="1" pivotButton="0" quotePrefix="0" xfId="0">
      <protection locked="0" hidden="0"/>
    </xf>
    <xf numFmtId="173" fontId="94" fillId="58" borderId="15" pivotButton="0" quotePrefix="0" xfId="0"/>
    <xf numFmtId="173" fontId="94" fillId="5" borderId="14" applyProtection="1" pivotButton="0" quotePrefix="0" xfId="0">
      <protection locked="0" hidden="0"/>
    </xf>
    <xf numFmtId="173" fontId="94" fillId="5" borderId="14" pivotButton="0" quotePrefix="0" xfId="0"/>
    <xf numFmtId="173" fontId="94" fillId="5" borderId="0" pivotButton="0" quotePrefix="0" xfId="0"/>
    <xf numFmtId="174" fontId="103" fillId="5" borderId="10" pivotButton="0" quotePrefix="0" xfId="0"/>
    <xf numFmtId="173" fontId="94" fillId="5" borderId="16" pivotButton="0" quotePrefix="0" xfId="0"/>
    <xf numFmtId="174" fontId="103" fillId="5" borderId="17" pivotButton="0" quotePrefix="0" xfId="0"/>
    <xf numFmtId="174" fontId="103" fillId="5" borderId="18" pivotButton="0" quotePrefix="0" xfId="0"/>
    <xf numFmtId="173" fontId="96" fillId="60" borderId="12" applyProtection="1" pivotButton="0" quotePrefix="0" xfId="0">
      <protection locked="0" hidden="0"/>
    </xf>
    <xf numFmtId="173" fontId="104" fillId="5" borderId="14" applyProtection="1" pivotButton="0" quotePrefix="0" xfId="0">
      <protection locked="0" hidden="0"/>
    </xf>
    <xf numFmtId="174" fontId="103" fillId="5" borderId="19" pivotButton="0" quotePrefix="0" xfId="0"/>
    <xf numFmtId="172" fontId="95" fillId="7" borderId="12" applyProtection="1" pivotButton="0" quotePrefix="0" xfId="0">
      <protection locked="0" hidden="0"/>
    </xf>
    <xf numFmtId="173" fontId="95" fillId="7" borderId="12" pivotButton="0" quotePrefix="0" xfId="0"/>
    <xf numFmtId="174" fontId="103" fillId="7" borderId="13" pivotButton="0" quotePrefix="0" xfId="0"/>
    <xf numFmtId="172" fontId="95" fillId="2" borderId="12" applyProtection="1" pivotButton="0" quotePrefix="0" xfId="0">
      <protection locked="0" hidden="0"/>
    </xf>
    <xf numFmtId="173" fontId="95" fillId="2" borderId="12" pivotButton="0" quotePrefix="0" xfId="0"/>
    <xf numFmtId="174" fontId="103" fillId="2" borderId="13" pivotButton="0" quotePrefix="0" xfId="0"/>
    <xf numFmtId="172" fontId="102" fillId="59" borderId="12" applyAlignment="1" pivotButton="0" quotePrefix="0" xfId="0">
      <alignment horizontal="center" vertical="center"/>
    </xf>
    <xf numFmtId="173" fontId="95" fillId="59" borderId="6" applyProtection="1" pivotButton="0" quotePrefix="0" xfId="0">
      <protection locked="0" hidden="0"/>
    </xf>
    <xf numFmtId="173" fontId="103" fillId="59" borderId="13" applyProtection="1" pivotButton="0" quotePrefix="0" xfId="0">
      <protection locked="0" hidden="0"/>
    </xf>
    <xf numFmtId="172" fontId="95" fillId="60" borderId="12" pivotButton="0" quotePrefix="0" xfId="0"/>
    <xf numFmtId="173" fontId="96" fillId="60" borderId="6" pivotButton="0" quotePrefix="0" xfId="0"/>
    <xf numFmtId="172" fontId="94" fillId="5" borderId="14" pivotButton="0" quotePrefix="0" xfId="0"/>
    <xf numFmtId="173" fontId="94" fillId="5" borderId="15" pivotButton="0" quotePrefix="0" xfId="0"/>
    <xf numFmtId="172" fontId="95" fillId="7" borderId="12" pivotButton="0" quotePrefix="0" xfId="0"/>
    <xf numFmtId="173" fontId="95" fillId="7" borderId="6" pivotButton="0" quotePrefix="0" xfId="0"/>
    <xf numFmtId="172" fontId="95" fillId="2" borderId="12" pivotButton="0" quotePrefix="0" xfId="0"/>
    <xf numFmtId="173" fontId="95" fillId="2" borderId="6" pivotButton="0" quotePrefix="0" xfId="0"/>
    <xf numFmtId="173" fontId="94" fillId="58" borderId="22" pivotButton="0" quotePrefix="0" xfId="0"/>
    <xf numFmtId="173" fontId="106" fillId="5" borderId="14" pivotButton="0" quotePrefix="0" xfId="0"/>
    <xf numFmtId="173" fontId="96" fillId="2" borderId="12" pivotButton="0" quotePrefix="0" xfId="0"/>
    <xf numFmtId="172" fontId="99" fillId="61" borderId="12" applyProtection="1" pivotButton="0" quotePrefix="0" xfId="0">
      <protection locked="0" hidden="0"/>
    </xf>
    <xf numFmtId="173" fontId="99" fillId="58" borderId="6" pivotButton="0" quotePrefix="0" xfId="0"/>
    <xf numFmtId="173" fontId="99" fillId="61" borderId="12" applyProtection="1" pivotButton="0" quotePrefix="0" xfId="0">
      <protection locked="0" hidden="0"/>
    </xf>
    <xf numFmtId="173" fontId="99" fillId="58" borderId="6" applyProtection="1" pivotButton="0" quotePrefix="0" xfId="0">
      <protection locked="0" hidden="0"/>
    </xf>
    <xf numFmtId="173" fontId="99" fillId="58" borderId="12" applyProtection="1" pivotButton="0" quotePrefix="0" xfId="0">
      <protection locked="0" hidden="0"/>
    </xf>
    <xf numFmtId="173" fontId="99" fillId="61" borderId="12" pivotButton="0" quotePrefix="0" xfId="0"/>
    <xf numFmtId="174" fontId="101" fillId="61" borderId="13" pivotButton="0" quotePrefix="0" xfId="0"/>
    <xf numFmtId="173" fontId="99" fillId="58" borderId="12" pivotButton="0" quotePrefix="0" xfId="0"/>
    <xf numFmtId="0" fontId="129" fillId="0" borderId="28" applyAlignment="1" pivotButton="0" quotePrefix="0" xfId="0">
      <alignment vertical="center" wrapText="1"/>
    </xf>
    <xf numFmtId="0" fontId="112" fillId="0" borderId="28" applyAlignment="1" pivotButton="0" quotePrefix="0" xfId="0">
      <alignment vertical="center" wrapText="1"/>
    </xf>
    <xf numFmtId="175" fontId="113" fillId="0" borderId="28" applyAlignment="1" pivotButton="0" quotePrefix="0" xfId="0">
      <alignment horizontal="right" vertical="center"/>
    </xf>
    <xf numFmtId="0" fontId="112" fillId="0" borderId="28" applyAlignment="1" pivotButton="0" quotePrefix="0" xfId="0">
      <alignment vertical="center"/>
    </xf>
    <xf numFmtId="0" fontId="129" fillId="0" borderId="28" applyAlignment="1" pivotButton="0" quotePrefix="0" xfId="0">
      <alignment vertical="center"/>
    </xf>
    <xf numFmtId="166" fontId="131" fillId="7" borderId="0" pivotButton="0" quotePrefix="0" xfId="0"/>
    <xf numFmtId="0" fontId="132" fillId="0" borderId="0" pivotButton="0" quotePrefix="0" xfId="0"/>
    <xf numFmtId="166" fontId="131" fillId="18" borderId="0" pivotButton="0" quotePrefix="0" xfId="0"/>
    <xf numFmtId="166" fontId="132" fillId="7" borderId="0" pivotButton="0" quotePrefix="0" xfId="0"/>
    <xf numFmtId="166" fontId="132" fillId="0" borderId="0" pivotButton="0" quotePrefix="0" xfId="0"/>
    <xf numFmtId="167" fontId="133" fillId="18" borderId="0" applyAlignment="1" pivotButton="0" quotePrefix="0" xfId="0">
      <alignment horizontal="center"/>
    </xf>
    <xf numFmtId="167" fontId="133" fillId="0" borderId="0" applyAlignment="1" pivotButton="0" quotePrefix="0" xfId="0">
      <alignment horizontal="center"/>
    </xf>
    <xf numFmtId="175" fontId="134" fillId="0" borderId="28" applyAlignment="1" pivotButton="0" quotePrefix="0" xfId="0">
      <alignment horizontal="right" vertical="center"/>
    </xf>
    <xf numFmtId="0" fontId="136" fillId="0" borderId="28" applyAlignment="1" pivotButton="0" quotePrefix="0" xfId="0">
      <alignment horizontal="left" vertical="center" wrapText="1" indent="1"/>
    </xf>
    <xf numFmtId="0" fontId="0" fillId="0" borderId="28" pivotButton="0" quotePrefix="0" xfId="0"/>
    <xf numFmtId="0" fontId="129" fillId="87" borderId="28" applyAlignment="1" pivotButton="0" quotePrefix="0" xfId="0">
      <alignment vertical="center" wrapText="1"/>
    </xf>
    <xf numFmtId="0" fontId="136" fillId="87" borderId="28" applyAlignment="1" pivotButton="0" quotePrefix="0" xfId="0">
      <alignment horizontal="left" vertical="center" wrapText="1" indent="1"/>
    </xf>
    <xf numFmtId="175" fontId="137" fillId="87" borderId="28" applyAlignment="1" pivotButton="0" quotePrefix="0" xfId="0">
      <alignment horizontal="right" vertical="center"/>
    </xf>
    <xf numFmtId="175" fontId="138" fillId="87" borderId="28" applyAlignment="1" pivotButton="0" quotePrefix="0" xfId="0">
      <alignment horizontal="right" vertical="center"/>
    </xf>
    <xf numFmtId="175" fontId="45" fillId="88" borderId="28" applyAlignment="1" pivotButton="0" quotePrefix="0" xfId="0">
      <alignment horizontal="right" vertical="center"/>
    </xf>
    <xf numFmtId="175" fontId="138" fillId="88" borderId="28" applyAlignment="1" pivotButton="0" quotePrefix="0" xfId="0">
      <alignment horizontal="right" vertical="center"/>
    </xf>
    <xf numFmtId="175" fontId="130" fillId="88" borderId="28" applyAlignment="1" pivotButton="0" quotePrefix="0" xfId="0">
      <alignment horizontal="right" vertical="center"/>
    </xf>
    <xf numFmtId="175" fontId="117" fillId="72" borderId="0" applyAlignment="1" pivotButton="0" quotePrefix="0" xfId="0">
      <alignment horizontal="right" vertical="center"/>
    </xf>
    <xf numFmtId="0" fontId="117" fillId="72" borderId="0" applyAlignment="1" pivotButton="0" quotePrefix="0" xfId="0">
      <alignment horizontal="center" vertical="center"/>
    </xf>
    <xf numFmtId="175" fontId="0" fillId="89" borderId="0" pivotButton="0" quotePrefix="0" xfId="0"/>
    <xf numFmtId="0" fontId="129" fillId="0" borderId="28" applyAlignment="1" pivotButton="0" quotePrefix="0" xfId="0">
      <alignment horizontal="right" vertical="center" wrapText="1"/>
    </xf>
    <xf numFmtId="0" fontId="129" fillId="87" borderId="28" applyAlignment="1" pivotButton="0" quotePrefix="0" xfId="0">
      <alignment horizontal="right" vertical="center" wrapText="1"/>
    </xf>
    <xf numFmtId="0" fontId="129" fillId="89" borderId="28" applyAlignment="1" pivotButton="0" quotePrefix="0" xfId="0">
      <alignment vertical="center"/>
    </xf>
    <xf numFmtId="0" fontId="7" fillId="72" borderId="0" applyAlignment="1" pivotButton="0" quotePrefix="0" xfId="0">
      <alignment horizontal="center" vertical="center"/>
    </xf>
    <xf numFmtId="175" fontId="45" fillId="89" borderId="28" applyAlignment="1" pivotButton="0" quotePrefix="0" xfId="0">
      <alignment horizontal="right" vertical="center"/>
    </xf>
    <xf numFmtId="0" fontId="7" fillId="74" borderId="0" applyAlignment="1" pivotButton="0" quotePrefix="0" xfId="0">
      <alignment horizontal="center" vertical="center"/>
    </xf>
    <xf numFmtId="0" fontId="7" fillId="70" borderId="0" applyAlignment="1" pivotButton="0" quotePrefix="0" xfId="0">
      <alignment horizontal="center" vertical="center"/>
    </xf>
    <xf numFmtId="0" fontId="139" fillId="0" borderId="0" pivotButton="0" quotePrefix="0" xfId="0"/>
    <xf numFmtId="0" fontId="112" fillId="0" borderId="0" pivotButton="0" quotePrefix="0" xfId="0"/>
    <xf numFmtId="175" fontId="139" fillId="0" borderId="0" pivotButton="0" quotePrefix="0" xfId="0"/>
    <xf numFmtId="0" fontId="135" fillId="0" borderId="0" pivotButton="0" quotePrefix="0" xfId="0"/>
    <xf numFmtId="10" fontId="128" fillId="0" borderId="0" pivotButton="0" quotePrefix="0" xfId="8"/>
    <xf numFmtId="175" fontId="135" fillId="0" borderId="0" pivotButton="0" quotePrefix="0" xfId="0"/>
    <xf numFmtId="175" fontId="45" fillId="89" borderId="0" applyAlignment="1" pivotButton="0" quotePrefix="0" xfId="0">
      <alignment horizontal="right" vertical="center"/>
    </xf>
    <xf numFmtId="166" fontId="132" fillId="0" borderId="3" pivotButton="0" quotePrefix="0" xfId="0"/>
    <xf numFmtId="0" fontId="117" fillId="74" borderId="0" applyAlignment="1" pivotButton="0" quotePrefix="0" xfId="0">
      <alignment horizontal="center" vertical="center"/>
    </xf>
    <xf numFmtId="0" fontId="117" fillId="70" borderId="0" applyAlignment="1" pivotButton="0" quotePrefix="0" xfId="0">
      <alignment horizontal="center" vertical="center"/>
    </xf>
    <xf numFmtId="0" fontId="129" fillId="0" borderId="0" pivotButton="0" quotePrefix="0" xfId="0"/>
    <xf numFmtId="175" fontId="129" fillId="0" borderId="0" pivotButton="0" quotePrefix="0" xfId="0"/>
    <xf numFmtId="175" fontId="68" fillId="88" borderId="28" applyAlignment="1" pivotButton="0" quotePrefix="0" xfId="0">
      <alignment horizontal="right" vertical="center"/>
    </xf>
    <xf numFmtId="175" fontId="135" fillId="89" borderId="0" pivotButton="0" quotePrefix="0" xfId="0"/>
    <xf numFmtId="175" fontId="140" fillId="0" borderId="28" applyAlignment="1" pivotButton="0" quotePrefix="0" xfId="0">
      <alignment horizontal="right" vertical="center"/>
    </xf>
    <xf numFmtId="175" fontId="136" fillId="0" borderId="28" applyAlignment="1" pivotButton="0" quotePrefix="0" xfId="0">
      <alignment horizontal="right" vertical="center"/>
    </xf>
    <xf numFmtId="0" fontId="136" fillId="0" borderId="28" applyAlignment="1" pivotButton="0" quotePrefix="0" xfId="0">
      <alignment vertical="center" wrapText="1"/>
    </xf>
    <xf numFmtId="0" fontId="7" fillId="74" borderId="0" applyAlignment="1" pivotButton="0" quotePrefix="0" xfId="0">
      <alignment horizontal="left" vertical="center" wrapText="1"/>
    </xf>
    <xf numFmtId="0" fontId="140" fillId="0" borderId="28" applyAlignment="1" pivotButton="0" quotePrefix="0" xfId="0">
      <alignment horizontal="left" vertical="center" wrapText="1"/>
    </xf>
    <xf numFmtId="0" fontId="139" fillId="0" borderId="0" applyAlignment="1" pivotButton="0" quotePrefix="0" xfId="0">
      <alignment wrapText="1"/>
    </xf>
    <xf numFmtId="0" fontId="117" fillId="74" borderId="0" applyAlignment="1" pivotButton="0" quotePrefix="0" xfId="0">
      <alignment horizontal="left" vertical="center" wrapText="1"/>
    </xf>
    <xf numFmtId="0" fontId="129" fillId="89" borderId="28" applyAlignment="1" pivotButton="0" quotePrefix="0" xfId="0">
      <alignment vertical="center" wrapText="1"/>
    </xf>
    <xf numFmtId="0" fontId="117" fillId="72" borderId="0" applyAlignment="1" pivotButton="0" quotePrefix="0" xfId="0">
      <alignment vertical="center" wrapText="1"/>
    </xf>
    <xf numFmtId="0" fontId="135" fillId="0" borderId="0" applyAlignment="1" pivotButton="0" quotePrefix="0" xfId="0">
      <alignment wrapText="1"/>
    </xf>
    <xf numFmtId="175" fontId="113" fillId="0" borderId="0" applyAlignment="1" pivotButton="0" quotePrefix="0" xfId="0">
      <alignment horizontal="right" vertical="center"/>
    </xf>
    <xf numFmtId="175" fontId="141" fillId="0" borderId="28" applyAlignment="1" pivotButton="0" quotePrefix="0" xfId="0">
      <alignment horizontal="right" vertical="center"/>
    </xf>
    <xf numFmtId="175" fontId="42" fillId="88" borderId="28" applyAlignment="1" pivotButton="0" quotePrefix="0" xfId="0">
      <alignment horizontal="right" vertical="center"/>
    </xf>
    <xf numFmtId="0" fontId="112" fillId="66" borderId="28" applyAlignment="1" pivotButton="0" quotePrefix="0" xfId="0">
      <alignment vertical="center"/>
    </xf>
    <xf numFmtId="0" fontId="112" fillId="66" borderId="28" applyAlignment="1" pivotButton="0" quotePrefix="0" xfId="0">
      <alignment vertical="center" wrapText="1"/>
    </xf>
    <xf numFmtId="175" fontId="134" fillId="66" borderId="28" applyAlignment="1" pivotButton="0" quotePrefix="0" xfId="0">
      <alignment horizontal="right" vertical="center"/>
    </xf>
    <xf numFmtId="0" fontId="140" fillId="0" borderId="28" applyAlignment="1" pivotButton="0" quotePrefix="0" xfId="0">
      <alignment horizontal="left" vertical="center" wrapText="1" indent="1"/>
    </xf>
    <xf numFmtId="0" fontId="136" fillId="89" borderId="28" applyAlignment="1" pivotButton="0" quotePrefix="0" xfId="0">
      <alignment horizontal="left" vertical="center" wrapText="1" indent="1"/>
    </xf>
    <xf numFmtId="0" fontId="140" fillId="89" borderId="28" applyAlignment="1" pivotButton="0" quotePrefix="0" xfId="0">
      <alignment horizontal="left" vertical="center" wrapText="1" indent="1"/>
    </xf>
    <xf numFmtId="0" fontId="140" fillId="0" borderId="28" applyAlignment="1" pivotButton="0" quotePrefix="0" xfId="0">
      <alignment vertical="center"/>
    </xf>
    <xf numFmtId="175" fontId="142" fillId="88" borderId="28" applyAlignment="1" pivotButton="0" quotePrefix="0" xfId="0">
      <alignment horizontal="right" vertical="center"/>
    </xf>
    <xf numFmtId="175" fontId="143" fillId="88" borderId="28" applyAlignment="1" pivotButton="0" quotePrefix="0" xfId="0">
      <alignment horizontal="right" vertical="center"/>
    </xf>
    <xf numFmtId="176" fontId="0" fillId="0" borderId="0" pivotButton="0" quotePrefix="0" xfId="9"/>
    <xf numFmtId="0" fontId="144" fillId="0" borderId="0" pivotButton="0" quotePrefix="0" xfId="0"/>
    <xf numFmtId="176" fontId="144" fillId="0" borderId="0" pivotButton="0" quotePrefix="0" xfId="9"/>
    <xf numFmtId="0" fontId="0" fillId="90" borderId="0" pivotButton="0" quotePrefix="0" xfId="0"/>
    <xf numFmtId="176" fontId="0" fillId="90" borderId="0" pivotButton="0" quotePrefix="0" xfId="9"/>
    <xf numFmtId="0" fontId="145" fillId="0" borderId="0" pivotButton="0" quotePrefix="0" xfId="0"/>
    <xf numFmtId="0" fontId="146" fillId="91" borderId="0" pivotButton="0" quotePrefix="0" xfId="0"/>
    <xf numFmtId="176" fontId="146" fillId="91" borderId="0" pivotButton="0" quotePrefix="0" xfId="9"/>
    <xf numFmtId="0" fontId="8" fillId="32" borderId="2" applyAlignment="1" pivotButton="0" quotePrefix="0" xfId="0">
      <alignment horizontal="center" vertical="center" wrapText="1"/>
    </xf>
    <xf numFmtId="0" fontId="16" fillId="49" borderId="2" applyAlignment="1" pivotButton="0" quotePrefix="0" xfId="0">
      <alignment horizontal="center" wrapText="1"/>
    </xf>
    <xf numFmtId="0" fontId="16" fillId="49" borderId="2" applyAlignment="1" pivotButton="0" quotePrefix="0" xfId="0">
      <alignment horizontal="center" vertical="center" wrapText="1"/>
    </xf>
    <xf numFmtId="0" fontId="111" fillId="73" borderId="0" applyAlignment="1" pivotButton="0" quotePrefix="0" xfId="0">
      <alignment vertical="center"/>
    </xf>
    <xf numFmtId="0" fontId="8" fillId="74" borderId="0" applyAlignment="1" pivotButton="0" quotePrefix="0" xfId="0">
      <alignment horizontal="center" vertical="center"/>
    </xf>
    <xf numFmtId="0" fontId="8" fillId="74" borderId="0" applyAlignment="1" pivotButton="0" quotePrefix="0" xfId="0">
      <alignment horizontal="left" vertical="center" wrapText="1"/>
    </xf>
    <xf numFmtId="0" fontId="8" fillId="74" borderId="0" applyAlignment="1" pivotButton="0" quotePrefix="0" xfId="0">
      <alignment horizontal="center" vertical="center" wrapText="1"/>
    </xf>
    <xf numFmtId="0" fontId="8" fillId="70" borderId="0" applyAlignment="1" pivotButton="0" quotePrefix="0" xfId="0">
      <alignment horizontal="center" vertical="center" wrapText="1"/>
    </xf>
    <xf numFmtId="0" fontId="7" fillId="72" borderId="0" applyAlignment="1" pivotButton="0" quotePrefix="0" xfId="0">
      <alignment horizontal="center" vertical="center" wrapText="1"/>
    </xf>
    <xf numFmtId="175" fontId="7" fillId="72" borderId="0" applyAlignment="1" pivotButton="0" quotePrefix="0" xfId="0">
      <alignment horizontal="right" vertical="center"/>
    </xf>
    <xf numFmtId="175" fontId="45" fillId="82" borderId="0" applyAlignment="1" pivotButton="0" quotePrefix="0" xfId="0">
      <alignment horizontal="right" vertical="center"/>
    </xf>
    <xf numFmtId="0" fontId="45" fillId="63" borderId="6" applyAlignment="1" pivotButton="0" quotePrefix="0" xfId="0">
      <alignment horizontal="center" vertical="center" wrapText="1"/>
    </xf>
    <xf numFmtId="0" fontId="0" fillId="50" borderId="2" pivotButton="0" quotePrefix="0" xfId="0"/>
    <xf numFmtId="0" fontId="5" fillId="6" borderId="1" applyAlignment="1" pivotButton="0" quotePrefix="0" xfId="0">
      <alignment horizontal="right" vertical="center"/>
    </xf>
    <xf numFmtId="0" fontId="0" fillId="0" borderId="1" pivotButton="0" quotePrefix="0" xfId="0"/>
    <xf numFmtId="0" fontId="4" fillId="4" borderId="0" applyAlignment="1" pivotButton="0" quotePrefix="0" xfId="0">
      <alignment horizontal="center" vertical="center"/>
    </xf>
    <xf numFmtId="0" fontId="0" fillId="0" borderId="0" pivotButton="0" quotePrefix="0" xfId="0"/>
    <xf numFmtId="0" fontId="3" fillId="3" borderId="0" applyAlignment="1" pivotButton="0" quotePrefix="0" xfId="0">
      <alignment horizontal="center" vertical="center"/>
    </xf>
    <xf numFmtId="0" fontId="6" fillId="5" borderId="1" applyAlignment="1" pivotButton="0" quotePrefix="0" xfId="0">
      <alignment horizontal="left" vertical="center"/>
    </xf>
    <xf numFmtId="0" fontId="19" fillId="3" borderId="0" applyAlignment="1" pivotButton="0" quotePrefix="0" xfId="0">
      <alignment horizontal="center" vertical="center"/>
    </xf>
    <xf numFmtId="0" fontId="7" fillId="4" borderId="0" applyAlignment="1" pivotButton="0" quotePrefix="0" xfId="0">
      <alignment horizontal="left" vertical="center"/>
    </xf>
    <xf numFmtId="0" fontId="127" fillId="86" borderId="0" applyAlignment="1" pivotButton="0" quotePrefix="0" xfId="0">
      <alignment horizontal="left" vertical="center" wrapText="1"/>
    </xf>
    <xf numFmtId="0" fontId="0" fillId="0" borderId="0" applyAlignment="1" pivotButton="0" quotePrefix="0" xfId="0">
      <alignment wrapText="1"/>
    </xf>
    <xf numFmtId="0" fontId="120" fillId="75" borderId="27" applyAlignment="1" pivotButton="0" quotePrefix="0" xfId="0">
      <alignment horizontal="left" vertical="center" wrapText="1"/>
    </xf>
    <xf numFmtId="0" fontId="120" fillId="76" borderId="27" applyAlignment="1" pivotButton="0" quotePrefix="0" xfId="0">
      <alignment horizontal="left" vertical="center" wrapText="1"/>
    </xf>
    <xf numFmtId="175" fontId="121" fillId="75" borderId="27" applyAlignment="1" pivotButton="0" quotePrefix="0" xfId="0">
      <alignment horizontal="right" vertical="center" wrapText="1"/>
    </xf>
    <xf numFmtId="0" fontId="118" fillId="79" borderId="27" applyAlignment="1" pivotButton="0" quotePrefix="0" xfId="0">
      <alignment horizontal="left" vertical="center" wrapText="1"/>
    </xf>
    <xf numFmtId="0" fontId="125" fillId="84" borderId="27" applyAlignment="1" pivotButton="0" quotePrefix="0" xfId="0">
      <alignment horizontal="center" vertical="center" wrapText="1"/>
    </xf>
    <xf numFmtId="0" fontId="118" fillId="81" borderId="27" applyAlignment="1" pivotButton="0" quotePrefix="0" xfId="0">
      <alignment horizontal="left" vertical="center" wrapText="1"/>
    </xf>
    <xf numFmtId="0" fontId="117" fillId="74" borderId="0" applyAlignment="1" pivotButton="0" quotePrefix="0" xfId="0">
      <alignment horizontal="left" vertical="center"/>
    </xf>
    <xf numFmtId="175" fontId="117" fillId="72" borderId="27" applyAlignment="1" pivotButton="0" quotePrefix="0" xfId="0">
      <alignment horizontal="right" vertical="center" wrapText="1"/>
    </xf>
    <xf numFmtId="0" fontId="126" fillId="85" borderId="27" applyAlignment="1" pivotButton="0" quotePrefix="0" xfId="0">
      <alignment horizontal="center" vertical="center" wrapText="1"/>
    </xf>
    <xf numFmtId="0" fontId="72" fillId="69" borderId="0" applyAlignment="1" pivotButton="0" quotePrefix="0" xfId="0">
      <alignment horizontal="center" vertical="center"/>
    </xf>
    <xf numFmtId="0" fontId="118" fillId="77" borderId="27" applyAlignment="1" pivotButton="0" quotePrefix="0" xfId="0">
      <alignment horizontal="left" vertical="center" wrapText="1"/>
    </xf>
    <xf numFmtId="175" fontId="120" fillId="75" borderId="27" applyAlignment="1" pivotButton="0" quotePrefix="0" xfId="0">
      <alignment horizontal="right" vertical="center" wrapText="1"/>
    </xf>
    <xf numFmtId="0" fontId="11" fillId="86" borderId="0" applyAlignment="1" pivotButton="0" quotePrefix="0" xfId="0">
      <alignment horizontal="left" vertical="center"/>
    </xf>
    <xf numFmtId="0" fontId="118" fillId="72" borderId="27" applyAlignment="1" pivotButton="0" quotePrefix="0" xfId="0">
      <alignment horizontal="center" vertical="center"/>
    </xf>
    <xf numFmtId="175" fontId="121" fillId="76" borderId="27" applyAlignment="1" pivotButton="0" quotePrefix="0" xfId="0">
      <alignment horizontal="right" vertical="center" wrapText="1"/>
    </xf>
    <xf numFmtId="175" fontId="120" fillId="76" borderId="27" applyAlignment="1" pivotButton="0" quotePrefix="0" xfId="0">
      <alignment horizontal="right" vertical="center" wrapText="1"/>
    </xf>
    <xf numFmtId="0" fontId="122" fillId="72" borderId="0" applyAlignment="1" pivotButton="0" quotePrefix="0" xfId="0">
      <alignment horizontal="left" vertical="center"/>
    </xf>
    <xf numFmtId="0" fontId="116" fillId="73" borderId="0" applyAlignment="1" pivotButton="0" quotePrefix="0" xfId="0">
      <alignment horizontal="left" vertical="center" wrapText="1"/>
    </xf>
    <xf numFmtId="0" fontId="118" fillId="80" borderId="27" applyAlignment="1" pivotButton="0" quotePrefix="0" xfId="0">
      <alignment horizontal="left" vertical="center" wrapText="1"/>
    </xf>
    <xf numFmtId="0" fontId="118" fillId="78" borderId="27" applyAlignment="1" pivotButton="0" quotePrefix="0" xfId="0">
      <alignment horizontal="left" vertical="center" wrapText="1"/>
    </xf>
    <xf numFmtId="0" fontId="40" fillId="72" borderId="0" applyAlignment="1" pivotButton="0" quotePrefix="0" xfId="0">
      <alignment horizontal="left" vertical="center"/>
    </xf>
    <xf numFmtId="0" fontId="117" fillId="72" borderId="27" applyAlignment="1" pivotButton="0" quotePrefix="0" xfId="0">
      <alignment horizontal="left" vertical="center"/>
    </xf>
    <xf numFmtId="0" fontId="115" fillId="72" borderId="0" applyAlignment="1" pivotButton="0" quotePrefix="0" xfId="0">
      <alignment horizontal="center" vertical="center"/>
    </xf>
    <xf numFmtId="0" fontId="124" fillId="83" borderId="29" applyAlignment="1" pivotButton="0" quotePrefix="0" xfId="0">
      <alignment horizontal="center" vertical="center"/>
    </xf>
    <xf numFmtId="0" fontId="124" fillId="83" borderId="0" applyAlignment="1" pivotButton="0" quotePrefix="0" xfId="0">
      <alignment horizontal="center" vertical="center"/>
    </xf>
    <xf numFmtId="0" fontId="123" fillId="82" borderId="27" applyAlignment="1" pivotButton="0" quotePrefix="0" xfId="0">
      <alignment horizontal="center" vertical="center" wrapText="1"/>
    </xf>
    <xf numFmtId="0" fontId="39" fillId="4" borderId="0" applyAlignment="1" pivotButton="0" quotePrefix="0" xfId="0">
      <alignment horizontal="center" vertical="center"/>
    </xf>
    <xf numFmtId="0" fontId="37" fillId="0" borderId="0" applyAlignment="1" pivotButton="0" quotePrefix="0" xfId="0">
      <alignment horizontal="left" vertical="top"/>
    </xf>
    <xf numFmtId="0" fontId="37" fillId="0" borderId="0" applyAlignment="1" pivotButton="0" quotePrefix="0" xfId="0">
      <alignment horizontal="left" vertical="top" wrapText="1"/>
    </xf>
    <xf numFmtId="0" fontId="43" fillId="30" borderId="6" applyAlignment="1" pivotButton="0" quotePrefix="0" xfId="0">
      <alignment horizontal="left" vertical="center" wrapText="1"/>
    </xf>
    <xf numFmtId="0" fontId="0" fillId="0" borderId="12" pivotButton="0" quotePrefix="0" xfId="0"/>
    <xf numFmtId="0" fontId="0" fillId="0" borderId="13" pivotButton="0" quotePrefix="0" xfId="0"/>
    <xf numFmtId="0" fontId="38" fillId="3" borderId="0" applyAlignment="1" pivotButton="0" quotePrefix="0" xfId="0">
      <alignment horizontal="center" vertical="center"/>
    </xf>
    <xf numFmtId="0" fontId="50" fillId="0" borderId="0" applyAlignment="1" pivotButton="0" quotePrefix="0" xfId="0">
      <alignment horizontal="left" vertical="center"/>
    </xf>
    <xf numFmtId="0" fontId="40" fillId="29" borderId="0" applyAlignment="1" pivotButton="0" quotePrefix="0" xfId="0">
      <alignment horizontal="left" vertical="center"/>
    </xf>
    <xf numFmtId="0" fontId="40" fillId="3" borderId="0" applyAlignment="1" pivotButton="0" quotePrefix="0" xfId="0">
      <alignment horizontal="left" vertical="center"/>
    </xf>
    <xf numFmtId="0" fontId="43" fillId="12" borderId="0" applyAlignment="1" pivotButton="0" quotePrefix="0" xfId="0">
      <alignment horizontal="left" vertical="center" wrapText="1"/>
    </xf>
    <xf numFmtId="0" fontId="64" fillId="18" borderId="0" applyAlignment="1" pivotButton="0" quotePrefix="0" xfId="0">
      <alignment horizontal="center" vertical="center"/>
    </xf>
    <xf numFmtId="0" fontId="59" fillId="0" borderId="0" applyAlignment="1" pivotButton="0" quotePrefix="0" xfId="0">
      <alignment horizontal="left" vertical="top" wrapText="1" indent="1"/>
    </xf>
    <xf numFmtId="0" fontId="62" fillId="0" borderId="8" applyAlignment="1" pivotButton="0" quotePrefix="0" xfId="0">
      <alignment horizontal="left" vertical="center" indent="1"/>
    </xf>
    <xf numFmtId="0" fontId="0" fillId="0" borderId="8" pivotButton="0" quotePrefix="0" xfId="0"/>
    <xf numFmtId="0" fontId="38" fillId="3" borderId="0" applyAlignment="1" pivotButton="0" quotePrefix="0" xfId="0">
      <alignment horizontal="left" vertical="center" indent="1"/>
    </xf>
    <xf numFmtId="0" fontId="60" fillId="0" borderId="0" applyAlignment="1" pivotButton="0" quotePrefix="0" xfId="0">
      <alignment horizontal="left" vertical="top" indent="1"/>
    </xf>
    <xf numFmtId="0" fontId="63" fillId="0" borderId="0" applyAlignment="1" pivotButton="0" quotePrefix="0" xfId="0">
      <alignment horizontal="left" vertical="top" wrapText="1" indent="1"/>
    </xf>
    <xf numFmtId="0" fontId="41" fillId="3" borderId="0" applyAlignment="1" pivotButton="0" quotePrefix="0" xfId="0">
      <alignment horizontal="left" vertical="top" wrapText="1"/>
    </xf>
    <xf numFmtId="0" fontId="57" fillId="4" borderId="0" applyAlignment="1" pivotButton="0" quotePrefix="0" xfId="0">
      <alignment horizontal="left" vertical="center" indent="2"/>
    </xf>
    <xf numFmtId="0" fontId="56" fillId="3" borderId="0" applyAlignment="1" pivotButton="0" quotePrefix="0" xfId="0">
      <alignment horizontal="left" vertical="center" indent="2"/>
    </xf>
    <xf numFmtId="0" fontId="58" fillId="18" borderId="0" applyAlignment="1" pivotButton="0" quotePrefix="0" xfId="0">
      <alignment horizontal="left" vertical="center" indent="2"/>
    </xf>
    <xf numFmtId="0" fontId="11" fillId="21" borderId="7" applyAlignment="1" pivotButton="0" quotePrefix="0" xfId="0">
      <alignment horizontal="left" vertical="center" wrapText="1"/>
    </xf>
    <xf numFmtId="0" fontId="0" fillId="0" borderId="24" pivotButton="0" quotePrefix="0" xfId="0"/>
    <xf numFmtId="0" fontId="51" fillId="3" borderId="0" applyAlignment="1" pivotButton="0" quotePrefix="0" xfId="0">
      <alignment horizontal="center" vertical="center"/>
    </xf>
    <xf numFmtId="0" fontId="40" fillId="4" borderId="0" applyAlignment="1" pivotButton="0" quotePrefix="0" xfId="0">
      <alignment horizontal="center" vertical="center"/>
    </xf>
    <xf numFmtId="0" fontId="7" fillId="32" borderId="0" applyAlignment="1" pivotButton="0" quotePrefix="0" xfId="0">
      <alignment horizontal="center" vertical="center"/>
    </xf>
    <xf numFmtId="0" fontId="40" fillId="3" borderId="0" applyAlignment="1" pivotButton="0" quotePrefix="0" xfId="0">
      <alignment horizontal="center" vertical="center"/>
    </xf>
    <xf numFmtId="0" fontId="42" fillId="5" borderId="9" applyAlignment="1" pivotButton="0" quotePrefix="0" xfId="0">
      <alignment horizontal="center" vertical="center"/>
    </xf>
    <xf numFmtId="0" fontId="7" fillId="3" borderId="6" applyAlignment="1" pivotButton="0" quotePrefix="0" xfId="0">
      <alignment horizontal="center" vertical="center" wrapText="1"/>
    </xf>
    <xf numFmtId="0" fontId="44" fillId="5" borderId="9" applyAlignment="1" pivotButton="0" quotePrefix="0" xfId="0">
      <alignment horizontal="left" vertical="center" wrapText="1"/>
    </xf>
    <xf numFmtId="0" fontId="68" fillId="12" borderId="9" applyAlignment="1" pivotButton="0" quotePrefix="0" xfId="0">
      <alignment horizontal="left" vertical="center" wrapText="1"/>
    </xf>
    <xf numFmtId="0" fontId="42" fillId="7" borderId="9" applyAlignment="1" pivotButton="0" quotePrefix="0" xfId="0">
      <alignment horizontal="center" vertical="center"/>
    </xf>
    <xf numFmtId="0" fontId="65" fillId="3" borderId="0" applyAlignment="1" pivotButton="0" quotePrefix="0" xfId="0">
      <alignment horizontal="center" vertical="center"/>
    </xf>
    <xf numFmtId="0" fontId="44" fillId="7" borderId="9" applyAlignment="1" pivotButton="0" quotePrefix="0" xfId="0">
      <alignment horizontal="left" vertical="center" wrapText="1"/>
    </xf>
    <xf numFmtId="0" fontId="45" fillId="0" borderId="0" pivotButton="0" quotePrefix="0" xfId="0"/>
    <xf numFmtId="0" fontId="43" fillId="30" borderId="0" applyAlignment="1" pivotButton="0" quotePrefix="0" xfId="0">
      <alignment horizontal="left" vertical="center" wrapText="1"/>
    </xf>
    <xf numFmtId="0" fontId="42" fillId="0" borderId="0" pivotButton="0" quotePrefix="0" xfId="0"/>
    <xf numFmtId="0" fontId="67" fillId="12" borderId="0" pivotButton="0" quotePrefix="0" xfId="0"/>
    <xf numFmtId="0" fontId="40" fillId="29" borderId="0" applyAlignment="1" pivotButton="0" quotePrefix="0" xfId="0">
      <alignment horizontal="center" vertical="center"/>
    </xf>
    <xf numFmtId="0" fontId="66" fillId="12" borderId="0" pivotButton="0" quotePrefix="0" xfId="0"/>
    <xf numFmtId="0" fontId="45" fillId="5" borderId="6" applyAlignment="1" pivotButton="0" quotePrefix="0" xfId="0">
      <alignment horizontal="left" vertical="center"/>
    </xf>
    <xf numFmtId="0" fontId="45" fillId="7" borderId="6" applyAlignment="1" pivotButton="0" quotePrefix="0" xfId="0">
      <alignment horizontal="left" vertical="center"/>
    </xf>
    <xf numFmtId="0" fontId="7" fillId="3" borderId="6" applyAlignment="1" pivotButton="0" quotePrefix="0" xfId="0">
      <alignment horizontal="left" vertical="center"/>
    </xf>
    <xf numFmtId="0" fontId="55" fillId="7" borderId="6" applyAlignment="1" pivotButton="0" quotePrefix="0" xfId="0">
      <alignment horizontal="left" vertical="center" wrapText="1"/>
    </xf>
    <xf numFmtId="0" fontId="55" fillId="5" borderId="6" applyAlignment="1" pivotButton="0" quotePrefix="0" xfId="0">
      <alignment horizontal="left" vertical="center" wrapText="1"/>
    </xf>
    <xf numFmtId="0" fontId="40" fillId="43" borderId="0" applyAlignment="1" pivotButton="0" quotePrefix="0" xfId="0">
      <alignment horizontal="center" vertical="center"/>
    </xf>
    <xf numFmtId="0" fontId="68" fillId="0" borderId="0" pivotButton="0" quotePrefix="0" xfId="0"/>
    <xf numFmtId="0" fontId="73" fillId="10" borderId="0" pivotButton="0" quotePrefix="0" xfId="0"/>
    <xf numFmtId="0" fontId="5" fillId="0" borderId="0" pivotButton="0" quotePrefix="0" xfId="0"/>
    <xf numFmtId="0" fontId="43" fillId="14" borderId="0" applyAlignment="1" pivotButton="0" quotePrefix="0" xfId="0">
      <alignment horizontal="left" vertical="center" wrapText="1"/>
    </xf>
    <xf numFmtId="0" fontId="39" fillId="43" borderId="0" applyAlignment="1" pivotButton="0" quotePrefix="0" xfId="0">
      <alignment horizontal="center" vertical="center"/>
    </xf>
    <xf numFmtId="0" fontId="46" fillId="0" borderId="0" pivotButton="0" quotePrefix="0" xfId="0"/>
    <xf numFmtId="0" fontId="72" fillId="3" borderId="6" applyAlignment="1" pivotButton="0" quotePrefix="0" xfId="0">
      <alignment horizontal="center" vertical="center"/>
    </xf>
    <xf numFmtId="0" fontId="75" fillId="12" borderId="4" applyAlignment="1" pivotButton="0" quotePrefix="0" xfId="0">
      <alignment horizontal="center" vertical="center" wrapText="1"/>
    </xf>
    <xf numFmtId="0" fontId="0" fillId="0" borderId="25" pivotButton="0" quotePrefix="0" xfId="0"/>
    <xf numFmtId="0" fontId="0" fillId="0" borderId="26" pivotButton="0" quotePrefix="0" xfId="0"/>
    <xf numFmtId="0" fontId="76" fillId="0" borderId="4" applyAlignment="1" pivotButton="0" quotePrefix="0" xfId="0">
      <alignment horizontal="left" vertical="center" wrapText="1"/>
    </xf>
    <xf numFmtId="0" fontId="74" fillId="3" borderId="0" applyAlignment="1" pivotButton="0" quotePrefix="0" xfId="0">
      <alignment horizontal="center" vertical="center" wrapText="1"/>
    </xf>
    <xf numFmtId="0" fontId="20" fillId="0" borderId="0" pivotButton="0" quotePrefix="0" xfId="0"/>
    <xf numFmtId="0" fontId="20" fillId="0" borderId="0" applyAlignment="1" pivotButton="0" quotePrefix="0" xfId="0">
      <alignment wrapText="1"/>
    </xf>
    <xf numFmtId="0" fontId="74" fillId="3" borderId="0" applyAlignment="1" pivotButton="0" quotePrefix="0" xfId="0">
      <alignment horizontal="left" vertical="center" wrapText="1"/>
    </xf>
    <xf numFmtId="0" fontId="74" fillId="44" borderId="0" applyAlignment="1" pivotButton="0" quotePrefix="0" xfId="0">
      <alignment horizontal="left" vertical="center" wrapText="1"/>
    </xf>
    <xf numFmtId="0" fontId="55" fillId="5" borderId="4" applyAlignment="1" pivotButton="0" quotePrefix="0" xfId="0">
      <alignment vertical="center"/>
    </xf>
    <xf numFmtId="0" fontId="42" fillId="50" borderId="4" applyAlignment="1" pivotButton="0" quotePrefix="0" xfId="0">
      <alignment vertical="center"/>
    </xf>
    <xf numFmtId="0" fontId="55" fillId="10" borderId="4" applyAlignment="1" pivotButton="0" quotePrefix="0" xfId="0">
      <alignment vertical="center"/>
    </xf>
    <xf numFmtId="0" fontId="44" fillId="10" borderId="4" applyAlignment="1" pivotButton="0" quotePrefix="0" xfId="0">
      <alignment vertical="center"/>
    </xf>
    <xf numFmtId="0" fontId="72" fillId="45" borderId="0" applyAlignment="1" pivotButton="0" quotePrefix="0" xfId="0">
      <alignment horizontal="left" vertical="center" wrapText="1"/>
    </xf>
    <xf numFmtId="0" fontId="0" fillId="0" borderId="0" applyAlignment="1" pivotButton="0" quotePrefix="0" xfId="0">
      <alignment vertical="center"/>
    </xf>
    <xf numFmtId="0" fontId="40" fillId="29" borderId="0" applyAlignment="1" pivotButton="0" quotePrefix="0" xfId="0">
      <alignment horizontal="left" vertical="center" wrapText="1"/>
    </xf>
    <xf numFmtId="0" fontId="78" fillId="46" borderId="0" applyAlignment="1" pivotButton="0" quotePrefix="0" xfId="0">
      <alignment horizontal="left" vertical="center" wrapText="1"/>
    </xf>
    <xf numFmtId="0" fontId="40" fillId="16" borderId="0" applyAlignment="1" pivotButton="0" quotePrefix="0" xfId="0">
      <alignment horizontal="left" vertical="center" wrapText="1"/>
    </xf>
    <xf numFmtId="0" fontId="38" fillId="45" borderId="0" applyAlignment="1" pivotButton="0" quotePrefix="0" xfId="0">
      <alignment horizontal="center" vertical="center" wrapText="1"/>
    </xf>
    <xf numFmtId="0" fontId="7" fillId="47" borderId="4" applyAlignment="1" pivotButton="0" quotePrefix="0" xfId="0">
      <alignment horizontal="center" vertical="center" wrapText="1"/>
    </xf>
    <xf numFmtId="0" fontId="5" fillId="10" borderId="6" pivotButton="0" quotePrefix="0" xfId="0"/>
    <xf numFmtId="0" fontId="40" fillId="56" borderId="0" pivotButton="0" quotePrefix="0" xfId="0"/>
    <xf numFmtId="0" fontId="44" fillId="30" borderId="0" applyAlignment="1" pivotButton="0" quotePrefix="0" xfId="0">
      <alignment horizontal="left" vertical="center" wrapText="1"/>
    </xf>
    <xf numFmtId="0" fontId="55" fillId="12" borderId="6" applyAlignment="1" pivotButton="0" quotePrefix="0" xfId="0">
      <alignment horizontal="left" vertical="center" wrapText="1"/>
    </xf>
    <xf numFmtId="0" fontId="39" fillId="4" borderId="0" applyAlignment="1" pivotButton="0" quotePrefix="0" xfId="0">
      <alignment horizontal="left" vertical="center" wrapText="1"/>
    </xf>
    <xf numFmtId="0" fontId="99" fillId="57"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0" fontId="100" fillId="5" borderId="0" applyAlignment="1" applyProtection="1" pivotButton="0" quotePrefix="0" xfId="0">
      <alignment horizontal="center"/>
      <protection locked="0" hidden="0"/>
    </xf>
    <xf numFmtId="0" fontId="99" fillId="61" borderId="10" applyAlignment="1" applyProtection="1" pivotButton="0" quotePrefix="0" xfId="0">
      <alignment horizontal="center"/>
      <protection locked="0" hidden="0"/>
    </xf>
    <xf numFmtId="0" fontId="0" fillId="0" borderId="10" applyProtection="1" pivotButton="0" quotePrefix="0" xfId="0">
      <protection locked="0" hidden="0"/>
    </xf>
    <xf numFmtId="0" fontId="99" fillId="61" borderId="11" applyAlignment="1" applyProtection="1" pivotButton="0" quotePrefix="0" xfId="0">
      <alignment horizontal="center"/>
      <protection locked="0" hidden="0"/>
    </xf>
    <xf numFmtId="0" fontId="99" fillId="57" borderId="10" applyAlignment="1" applyProtection="1" pivotButton="0" quotePrefix="0" xfId="0">
      <alignment horizontal="center"/>
      <protection locked="0" hidden="0"/>
    </xf>
    <xf numFmtId="0" fontId="99" fillId="57" borderId="11" applyAlignment="1" applyProtection="1" pivotButton="0" quotePrefix="0" xfId="0">
      <alignment horizontal="center"/>
      <protection locked="0" hidden="0"/>
    </xf>
    <xf numFmtId="0" fontId="99" fillId="61" borderId="0" applyAlignment="1" applyProtection="1" pivotButton="0" quotePrefix="0" xfId="0">
      <alignment horizontal="center" vertical="center" wrapText="1"/>
      <protection locked="0" hidden="0"/>
    </xf>
    <xf numFmtId="0" fontId="99" fillId="57" borderId="21"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99" fillId="61" borderId="21" applyAlignment="1" applyProtection="1" pivotButton="0" quotePrefix="0" xfId="0">
      <alignment horizontal="center" vertical="center" wrapText="1"/>
      <protection locked="0" hidden="0"/>
    </xf>
    <xf numFmtId="0" fontId="99" fillId="62" borderId="11" applyAlignment="1" applyProtection="1" pivotButton="0" quotePrefix="0" xfId="0">
      <alignment horizontal="center"/>
      <protection locked="0" hidden="0"/>
    </xf>
    <xf numFmtId="0" fontId="147" fillId="92" borderId="0" applyAlignment="1" pivotButton="0" quotePrefix="0" xfId="0">
      <alignment horizontal="center" vertical="center"/>
    </xf>
    <xf numFmtId="0" fontId="150" fillId="93" borderId="0" applyAlignment="1" pivotButton="0" quotePrefix="0" xfId="0">
      <alignment horizontal="center" vertical="center"/>
    </xf>
    <xf numFmtId="175" fontId="134" fillId="66" borderId="28" applyAlignment="1" pivotButton="0" quotePrefix="0" xfId="0">
      <alignment horizontal="right" vertical="center"/>
    </xf>
    <xf numFmtId="0" fontId="149" fillId="92" borderId="39" applyAlignment="1" pivotButton="0" quotePrefix="0" xfId="0">
      <alignment horizontal="center" vertical="center" wrapText="1"/>
    </xf>
    <xf numFmtId="0" fontId="151" fillId="66" borderId="39" applyAlignment="1" pivotButton="0" quotePrefix="0" xfId="0">
      <alignment vertical="center"/>
    </xf>
    <xf numFmtId="0" fontId="151" fillId="66" borderId="39" applyAlignment="1" pivotButton="0" quotePrefix="0" xfId="0">
      <alignment vertical="center" wrapText="1"/>
    </xf>
    <xf numFmtId="175" fontId="151" fillId="66" borderId="39" applyAlignment="1" pivotButton="0" quotePrefix="0" xfId="0">
      <alignment horizontal="right" vertical="center"/>
    </xf>
    <xf numFmtId="0" fontId="151" fillId="94" borderId="39" pivotButton="0" quotePrefix="0" xfId="0"/>
    <xf numFmtId="0" fontId="151" fillId="95" borderId="39" applyAlignment="1" pivotButton="0" quotePrefix="0" xfId="0">
      <alignment vertical="center"/>
    </xf>
    <xf numFmtId="0" fontId="151" fillId="95" borderId="39" applyAlignment="1" pivotButton="0" quotePrefix="0" xfId="0">
      <alignment vertical="center" wrapText="1"/>
    </xf>
    <xf numFmtId="175" fontId="151" fillId="95" borderId="39" applyAlignment="1" pivotButton="0" quotePrefix="0" xfId="0">
      <alignment horizontal="right" vertical="center"/>
    </xf>
    <xf numFmtId="175" fontId="151" fillId="88" borderId="39" applyAlignment="1" pivotButton="0" quotePrefix="0" xfId="0">
      <alignment horizontal="right" vertical="center"/>
    </xf>
    <xf numFmtId="0" fontId="151" fillId="95" borderId="39" pivotButton="0" quotePrefix="0" xfId="0"/>
    <xf numFmtId="175" fontId="151" fillId="95" borderId="39" pivotButton="0" quotePrefix="0" xfId="0"/>
    <xf numFmtId="0" fontId="151" fillId="94" borderId="39" applyAlignment="1" pivotButton="0" quotePrefix="0" xfId="0">
      <alignment vertical="center"/>
    </xf>
    <xf numFmtId="0" fontId="151" fillId="94" borderId="39" applyAlignment="1" pivotButton="0" quotePrefix="0" xfId="0">
      <alignment vertical="center" wrapText="1"/>
    </xf>
    <xf numFmtId="175" fontId="151" fillId="94" borderId="39" applyAlignment="1" pivotButton="0" quotePrefix="0" xfId="0">
      <alignment horizontal="right" vertical="center"/>
    </xf>
    <xf numFmtId="175" fontId="151" fillId="94" borderId="39" pivotButton="0" quotePrefix="0" xfId="0"/>
    <xf numFmtId="175" fontId="151" fillId="89" borderId="39" applyAlignment="1" pivotButton="0" quotePrefix="0" xfId="0">
      <alignment horizontal="right" vertical="center"/>
    </xf>
    <xf numFmtId="0" fontId="151" fillId="95" borderId="39" applyAlignment="1" pivotButton="0" quotePrefix="0" xfId="0">
      <alignment horizontal="left" vertical="center" wrapText="1"/>
    </xf>
    <xf numFmtId="0" fontId="151" fillId="94" borderId="39" applyAlignment="1" pivotButton="0" quotePrefix="0" xfId="0">
      <alignment horizontal="left" vertical="center" wrapText="1"/>
    </xf>
    <xf numFmtId="0" fontId="151" fillId="72" borderId="39" applyAlignment="1" pivotButton="0" quotePrefix="0" xfId="0">
      <alignment vertical="center" wrapText="1"/>
    </xf>
    <xf numFmtId="175" fontId="151" fillId="72" borderId="39" applyAlignment="1" pivotButton="0" quotePrefix="0" xfId="0">
      <alignment horizontal="right" vertical="center"/>
    </xf>
    <xf numFmtId="0" fontId="151" fillId="94" borderId="39" applyAlignment="1" pivotButton="0" quotePrefix="0" xfId="0">
      <alignment wrapText="1"/>
    </xf>
    <xf numFmtId="10" fontId="151" fillId="94" borderId="39" pivotButton="0" quotePrefix="0" xfId="8"/>
    <xf numFmtId="0" fontId="151" fillId="95" borderId="39" applyAlignment="1" pivotButton="0" quotePrefix="0" xfId="0">
      <alignment wrapText="1"/>
    </xf>
    <xf numFmtId="0" fontId="151" fillId="74" borderId="39" applyAlignment="1" pivotButton="0" quotePrefix="0" xfId="0">
      <alignment horizontal="center" vertical="center"/>
    </xf>
    <xf numFmtId="0" fontId="151" fillId="74" borderId="39" applyAlignment="1" pivotButton="0" quotePrefix="0" xfId="0">
      <alignment horizontal="left" vertical="center" wrapText="1"/>
    </xf>
    <xf numFmtId="0" fontId="151" fillId="70" borderId="39" applyAlignment="1" pivotButton="0" quotePrefix="0" xfId="0">
      <alignment horizontal="center" vertical="center"/>
    </xf>
    <xf numFmtId="0" fontId="151" fillId="72" borderId="39" applyAlignment="1" pivotButton="0" quotePrefix="0" xfId="0">
      <alignment horizontal="center" vertical="center"/>
    </xf>
    <xf numFmtId="0" fontId="151" fillId="94" borderId="39" applyAlignment="1" pivotButton="0" quotePrefix="0" xfId="0">
      <alignment horizontal="left" vertical="center" wrapText="1" indent="1"/>
    </xf>
    <xf numFmtId="0" fontId="151" fillId="95" borderId="39" applyAlignment="1" pivotButton="0" quotePrefix="0" xfId="0">
      <alignment horizontal="left" vertical="center" wrapText="1" indent="1"/>
    </xf>
    <xf numFmtId="0" fontId="151" fillId="89" borderId="39" applyAlignment="1" pivotButton="0" quotePrefix="0" xfId="0">
      <alignment vertical="center"/>
    </xf>
    <xf numFmtId="0" fontId="151" fillId="89" borderId="39" applyAlignment="1" pivotButton="0" quotePrefix="0" xfId="0">
      <alignment horizontal="left" vertical="center" wrapText="1" indent="1"/>
    </xf>
    <xf numFmtId="175" fontId="151" fillId="89" borderId="39" pivotButton="0" quotePrefix="0" xfId="0"/>
    <xf numFmtId="0" fontId="151" fillId="89" borderId="39" applyAlignment="1" pivotButton="0" quotePrefix="0" xfId="0">
      <alignment vertical="center" wrapText="1"/>
    </xf>
    <xf numFmtId="0" fontId="147" fillId="92" borderId="0" applyAlignment="1" pivotButton="0" quotePrefix="0" xfId="0">
      <alignment horizontal="left" vertical="center" wrapText="1"/>
    </xf>
    <xf numFmtId="175" fontId="117" fillId="72" borderId="0" applyAlignment="1" pivotButton="0" quotePrefix="0" xfId="0">
      <alignment horizontal="right" vertical="center"/>
    </xf>
    <xf numFmtId="0" fontId="151" fillId="94" borderId="39" applyAlignment="1" pivotButton="0" quotePrefix="0" xfId="0">
      <alignment horizontal="right" vertical="center" wrapText="1"/>
    </xf>
    <xf numFmtId="0" fontId="151" fillId="94" borderId="39" applyAlignment="1" pivotButton="0" quotePrefix="0" xfId="0">
      <alignment horizontal="right" vertical="center"/>
    </xf>
    <xf numFmtId="0" fontId="151" fillId="87" borderId="39" applyAlignment="1" pivotButton="0" quotePrefix="0" xfId="0">
      <alignment horizontal="right" vertical="center" wrapText="1"/>
    </xf>
    <xf numFmtId="0" fontId="151" fillId="87" borderId="39" applyAlignment="1" pivotButton="0" quotePrefix="0" xfId="0">
      <alignment horizontal="left" vertical="center" wrapText="1" indent="1"/>
    </xf>
    <xf numFmtId="175" fontId="151" fillId="87" borderId="39" applyAlignment="1" pivotButton="0" quotePrefix="0" xfId="0">
      <alignment horizontal="right" vertical="center"/>
    </xf>
    <xf numFmtId="0" fontId="151" fillId="0" borderId="39" applyAlignment="1" pivotButton="0" quotePrefix="0" xfId="0">
      <alignment horizontal="right" vertical="center"/>
    </xf>
    <xf numFmtId="175" fontId="138" fillId="87" borderId="28" applyAlignment="1" pivotButton="0" quotePrefix="0" xfId="0">
      <alignment horizontal="right" vertical="center"/>
    </xf>
    <xf numFmtId="175" fontId="138" fillId="88" borderId="28" applyAlignment="1" pivotButton="0" quotePrefix="0" xfId="0">
      <alignment horizontal="right" vertical="center"/>
    </xf>
    <xf numFmtId="0" fontId="151" fillId="0" borderId="39" applyAlignment="1" pivotButton="0" quotePrefix="0" xfId="0">
      <alignment horizontal="right" vertical="center" wrapText="1"/>
    </xf>
    <xf numFmtId="0" fontId="151" fillId="0" borderId="39" applyAlignment="1" pivotButton="0" quotePrefix="0" xfId="0">
      <alignment vertical="center" wrapText="1"/>
    </xf>
    <xf numFmtId="175" fontId="151" fillId="0" borderId="39" applyAlignment="1" pivotButton="0" quotePrefix="0" xfId="0">
      <alignment horizontal="right" vertical="center"/>
    </xf>
    <xf numFmtId="175" fontId="45" fillId="88" borderId="28" applyAlignment="1" pivotButton="0" quotePrefix="0" xfId="0">
      <alignment horizontal="right" vertical="center"/>
    </xf>
    <xf numFmtId="175" fontId="134" fillId="0" borderId="28" applyAlignment="1" pivotButton="0" quotePrefix="0" xfId="0">
      <alignment horizontal="right" vertical="center"/>
    </xf>
    <xf numFmtId="175" fontId="130" fillId="88" borderId="28" applyAlignment="1" pivotButton="0" quotePrefix="0" xfId="0">
      <alignment horizontal="right" vertical="center"/>
    </xf>
    <xf numFmtId="0" fontId="151" fillId="87" borderId="39" applyAlignment="1" pivotButton="0" quotePrefix="0" xfId="0">
      <alignment vertical="center" wrapText="1"/>
    </xf>
    <xf numFmtId="0" fontId="151" fillId="72" borderId="39" applyAlignment="1" pivotButton="0" quotePrefix="0" xfId="0">
      <alignment horizontal="left" vertical="center"/>
    </xf>
    <xf numFmtId="0" fontId="151" fillId="0" borderId="39" pivotButton="0" quotePrefix="0" xfId="0"/>
    <xf numFmtId="0" fontId="151" fillId="94" borderId="39" applyAlignment="1" pivotButton="0" quotePrefix="0" xfId="0">
      <alignment horizontal="left" vertical="center"/>
    </xf>
    <xf numFmtId="0" fontId="151" fillId="94" borderId="39" applyAlignment="1" pivotButton="0" quotePrefix="0" xfId="0">
      <alignment horizontal="center" vertical="center"/>
    </xf>
    <xf numFmtId="0" fontId="151" fillId="73" borderId="39" applyAlignment="1" pivotButton="0" quotePrefix="0" xfId="0">
      <alignment horizontal="left" vertical="center" wrapText="1"/>
    </xf>
    <xf numFmtId="0" fontId="151" fillId="72" borderId="39" applyAlignment="1" pivotButton="0" quotePrefix="0" xfId="0">
      <alignment horizontal="right" vertical="center"/>
    </xf>
    <xf numFmtId="0" fontId="151" fillId="94" borderId="39" applyAlignment="1" pivotButton="0" quotePrefix="0" xfId="0">
      <alignment horizontal="center" vertical="center" wrapText="1"/>
    </xf>
    <xf numFmtId="0" fontId="151" fillId="76" borderId="39" applyAlignment="1" pivotButton="0" quotePrefix="0" xfId="0">
      <alignment horizontal="center" vertical="center" wrapText="1"/>
    </xf>
    <xf numFmtId="0" fontId="151" fillId="76" borderId="39" applyAlignment="1" pivotButton="0" quotePrefix="0" xfId="0">
      <alignment horizontal="left" vertical="center" wrapText="1"/>
    </xf>
    <xf numFmtId="175" fontId="151" fillId="76" borderId="39" applyAlignment="1" pivotButton="0" quotePrefix="0" xfId="0">
      <alignment horizontal="right" vertical="center"/>
    </xf>
    <xf numFmtId="0" fontId="151" fillId="76" borderId="39" applyAlignment="1" pivotButton="0" quotePrefix="0" xfId="0">
      <alignment horizontal="right" vertical="center"/>
    </xf>
    <xf numFmtId="0" fontId="151" fillId="74" borderId="39" applyAlignment="1" pivotButton="0" quotePrefix="0" xfId="0">
      <alignment horizontal="left" vertical="center"/>
    </xf>
    <xf numFmtId="0" fontId="151" fillId="78" borderId="39" applyAlignment="1" pivotButton="0" quotePrefix="0" xfId="0">
      <alignment horizontal="center" vertical="center"/>
    </xf>
    <xf numFmtId="0" fontId="151" fillId="78" borderId="39" applyAlignment="1" pivotButton="0" quotePrefix="0" xfId="0">
      <alignment horizontal="left" vertical="center" wrapText="1"/>
    </xf>
    <xf numFmtId="0" fontId="151" fillId="80" borderId="39" applyAlignment="1" pivotButton="0" quotePrefix="0" xfId="0">
      <alignment horizontal="center" vertical="center"/>
    </xf>
    <xf numFmtId="0" fontId="151" fillId="80" borderId="39" applyAlignment="1" pivotButton="0" quotePrefix="0" xfId="0">
      <alignment horizontal="left" vertical="center" wrapText="1"/>
    </xf>
    <xf numFmtId="0" fontId="151" fillId="84" borderId="39" applyAlignment="1" pivotButton="0" quotePrefix="0" xfId="0">
      <alignment horizontal="center" vertical="center" wrapText="1"/>
    </xf>
    <xf numFmtId="0" fontId="151" fillId="83" borderId="39" applyAlignment="1" pivotButton="0" quotePrefix="0" xfId="0">
      <alignment horizontal="right" vertical="center"/>
    </xf>
    <xf numFmtId="0" fontId="151" fillId="86" borderId="39" applyAlignment="1" pivotButton="0" quotePrefix="0" xfId="0">
      <alignment horizontal="left" vertical="center" wrapText="1"/>
    </xf>
    <xf numFmtId="0" fontId="147" fillId="92" borderId="0" applyAlignment="1" pivotButton="0" quotePrefix="0" xfId="0">
      <alignment horizontal="left" vertical="center"/>
    </xf>
    <xf numFmtId="0" fontId="149" fillId="93" borderId="39" applyAlignment="1" pivotButton="0" quotePrefix="0" xfId="0">
      <alignment horizontal="center" vertical="center" wrapText="1"/>
    </xf>
    <xf numFmtId="0" fontId="151" fillId="95" borderId="39" applyAlignment="1" pivotButton="0" quotePrefix="0" xfId="0">
      <alignment horizontal="right" vertical="center"/>
    </xf>
    <xf numFmtId="0" fontId="151" fillId="95" borderId="39" applyAlignment="1" pivotButton="0" quotePrefix="0" xfId="0">
      <alignment horizontal="left" vertical="center"/>
    </xf>
    <xf numFmtId="0" fontId="151" fillId="95" borderId="39" applyAlignment="1" pivotButton="0" quotePrefix="0" xfId="7">
      <alignment horizontal="left"/>
    </xf>
    <xf numFmtId="0" fontId="151" fillId="95" borderId="39" applyAlignment="1" pivotButton="0" quotePrefix="0" xfId="0">
      <alignment horizontal="center" wrapText="1"/>
    </xf>
    <xf numFmtId="0" fontId="151" fillId="95" borderId="39" applyAlignment="1" pivotButton="0" quotePrefix="0" xfId="0">
      <alignment horizontal="left" wrapText="1"/>
    </xf>
    <xf numFmtId="0" fontId="151" fillId="94" borderId="39" applyAlignment="1" pivotButton="0" quotePrefix="0" xfId="7">
      <alignment horizontal="left"/>
    </xf>
    <xf numFmtId="0" fontId="151" fillId="94" borderId="39" applyAlignment="1" pivotButton="0" quotePrefix="0" xfId="0">
      <alignment horizontal="center" wrapText="1"/>
    </xf>
    <xf numFmtId="0" fontId="151" fillId="94" borderId="39" applyAlignment="1" pivotButton="0" quotePrefix="0" xfId="0">
      <alignment horizontal="left" wrapText="1"/>
    </xf>
    <xf numFmtId="0" fontId="151" fillId="95" borderId="39" applyAlignment="1" pivotButton="0" quotePrefix="0" xfId="0">
      <alignment horizontal="center" vertical="center" wrapText="1"/>
    </xf>
    <xf numFmtId="0" fontId="151" fillId="95" borderId="39" applyAlignment="1" pivotButton="0" quotePrefix="0" xfId="0">
      <alignment horizontal="center" vertical="center"/>
    </xf>
    <xf numFmtId="168" fontId="149" fillId="93" borderId="39" applyAlignment="1" pivotButton="0" quotePrefix="0" xfId="0">
      <alignment horizontal="center" vertical="center" wrapText="1"/>
    </xf>
    <xf numFmtId="168" fontId="151" fillId="94" borderId="39" applyAlignment="1" pivotButton="0" quotePrefix="0" xfId="0">
      <alignment horizontal="center" vertical="center" wrapText="1"/>
    </xf>
    <xf numFmtId="168" fontId="151" fillId="94" borderId="39" applyAlignment="1" pivotButton="0" quotePrefix="0" xfId="0">
      <alignment horizontal="center" vertical="center"/>
    </xf>
    <xf numFmtId="168" fontId="151" fillId="95" borderId="39" applyAlignment="1" pivotButton="0" quotePrefix="0" xfId="0">
      <alignment horizontal="center" vertical="center" wrapText="1"/>
    </xf>
    <xf numFmtId="169" fontId="151" fillId="94" borderId="39" applyAlignment="1" pivotButton="0" quotePrefix="0" xfId="0">
      <alignment horizontal="right" vertical="center" wrapText="1"/>
    </xf>
    <xf numFmtId="169" fontId="151" fillId="94" borderId="39" applyAlignment="1" pivotButton="0" quotePrefix="0" xfId="0">
      <alignment horizontal="right" vertical="center"/>
    </xf>
    <xf numFmtId="169" fontId="151" fillId="95" borderId="39" applyAlignment="1" pivotButton="0" quotePrefix="0" xfId="0">
      <alignment horizontal="right" vertical="center" wrapText="1"/>
    </xf>
    <xf numFmtId="169" fontId="151" fillId="95" borderId="39" applyAlignment="1" pivotButton="0" quotePrefix="0" xfId="0">
      <alignment horizontal="right" vertical="center"/>
    </xf>
    <xf numFmtId="164" fontId="151" fillId="94" borderId="39" applyAlignment="1" pivotButton="0" quotePrefix="0" xfId="0">
      <alignment horizontal="right" vertical="center" wrapText="1"/>
    </xf>
    <xf numFmtId="170" fontId="151" fillId="94" borderId="39" applyAlignment="1" pivotButton="0" quotePrefix="0" xfId="0">
      <alignment horizontal="right" vertical="center"/>
    </xf>
    <xf numFmtId="164" fontId="151" fillId="95" borderId="39" applyAlignment="1" pivotButton="0" quotePrefix="0" xfId="0">
      <alignment horizontal="right" vertical="center" wrapText="1"/>
    </xf>
    <xf numFmtId="170" fontId="151" fillId="95" borderId="39" applyAlignment="1" pivotButton="0" quotePrefix="0" xfId="0">
      <alignment horizontal="right" vertical="center"/>
    </xf>
    <xf numFmtId="164" fontId="151" fillId="95" borderId="39" applyAlignment="1" pivotButton="0" quotePrefix="0" xfId="0">
      <alignment horizontal="left" vertical="top"/>
    </xf>
    <xf numFmtId="0" fontId="151" fillId="95" borderId="39" applyAlignment="1" pivotButton="0" quotePrefix="0" xfId="0">
      <alignment horizontal="right" vertical="center" wrapText="1"/>
    </xf>
    <xf numFmtId="0" fontId="148" fillId="92" borderId="0" applyAlignment="1" pivotButton="0" quotePrefix="0" xfId="0">
      <alignment horizontal="center" vertical="center"/>
    </xf>
    <xf numFmtId="176" fontId="0" fillId="0" borderId="0" pivotButton="0" quotePrefix="0" xfId="9"/>
    <xf numFmtId="176" fontId="146" fillId="91" borderId="0" pivotButton="0" quotePrefix="0" xfId="9"/>
    <xf numFmtId="176" fontId="144" fillId="0" borderId="0" pivotButton="0" quotePrefix="0" xfId="9"/>
    <xf numFmtId="176" fontId="0" fillId="90" borderId="0" pivotButton="0" quotePrefix="0" xfId="9"/>
    <xf numFmtId="180" fontId="151" fillId="94" borderId="39" applyAlignment="1" pivotButton="0" quotePrefix="0" xfId="0">
      <alignment horizontal="left" vertical="center"/>
    </xf>
    <xf numFmtId="179" fontId="151" fillId="94" borderId="39" applyAlignment="1" pivotButton="0" quotePrefix="0" xfId="0">
      <alignment horizontal="left" vertical="center"/>
    </xf>
    <xf numFmtId="1" fontId="151" fillId="94" borderId="39" applyAlignment="1" pivotButton="0" quotePrefix="0" xfId="0">
      <alignment horizontal="left" vertical="center"/>
    </xf>
    <xf numFmtId="164" fontId="151" fillId="95" borderId="39" applyAlignment="1" pivotButton="0" quotePrefix="0" xfId="0">
      <alignment vertical="center" wrapText="1"/>
    </xf>
    <xf numFmtId="166" fontId="151" fillId="95" borderId="39" applyAlignment="1" pivotButton="0" quotePrefix="0" xfId="0">
      <alignment vertical="center" wrapText="1"/>
    </xf>
    <xf numFmtId="166" fontId="151" fillId="95" borderId="39" pivotButton="0" quotePrefix="0" xfId="0"/>
    <xf numFmtId="0" fontId="151" fillId="94" borderId="39" applyAlignment="1" pivotButton="0" quotePrefix="0" xfId="0">
      <alignment horizontal="right"/>
    </xf>
    <xf numFmtId="0" fontId="151" fillId="94" borderId="39" applyAlignment="1" pivotButton="0" quotePrefix="0" xfId="0">
      <alignment horizontal="left" indent="1"/>
    </xf>
    <xf numFmtId="164" fontId="151" fillId="94" borderId="39" pivotButton="0" quotePrefix="0" xfId="0"/>
    <xf numFmtId="1" fontId="151" fillId="94" borderId="39" applyAlignment="1" pivotButton="0" quotePrefix="0" xfId="0">
      <alignment horizontal="left" indent="1"/>
    </xf>
    <xf numFmtId="166" fontId="151" fillId="94" borderId="39" pivotButton="0" quotePrefix="0" xfId="0"/>
    <xf numFmtId="0" fontId="151" fillId="95" borderId="39" applyAlignment="1" pivotButton="0" quotePrefix="0" xfId="0">
      <alignment horizontal="right"/>
    </xf>
    <xf numFmtId="0" fontId="151" fillId="95" borderId="39" applyAlignment="1" pivotButton="0" quotePrefix="0" xfId="0">
      <alignment horizontal="left" indent="1"/>
    </xf>
    <xf numFmtId="164" fontId="151" fillId="95" borderId="39" pivotButton="0" quotePrefix="0" xfId="0"/>
    <xf numFmtId="1" fontId="151" fillId="95" borderId="39" applyAlignment="1" pivotButton="0" quotePrefix="0" xfId="0">
      <alignment horizontal="left" indent="1"/>
    </xf>
    <xf numFmtId="164" fontId="151" fillId="94" borderId="39" applyAlignment="1" pivotButton="0" quotePrefix="0" xfId="0">
      <alignment vertical="center" wrapText="1"/>
    </xf>
    <xf numFmtId="166" fontId="151" fillId="94" borderId="39" applyAlignment="1" pivotButton="0" quotePrefix="0" xfId="0">
      <alignment vertical="center" wrapText="1"/>
    </xf>
    <xf numFmtId="38" fontId="151" fillId="94" borderId="39" pivotButton="0" quotePrefix="0" xfId="0"/>
    <xf numFmtId="9" fontId="151" fillId="94" borderId="39" pivotButton="0" quotePrefix="0" xfId="0"/>
    <xf numFmtId="9" fontId="151" fillId="94" borderId="39" applyAlignment="1" pivotButton="0" quotePrefix="0" xfId="0">
      <alignment horizontal="center"/>
    </xf>
    <xf numFmtId="180" fontId="151" fillId="95" borderId="39" applyAlignment="1" pivotButton="0" quotePrefix="0" xfId="0">
      <alignment horizontal="left" vertical="center"/>
    </xf>
    <xf numFmtId="179" fontId="151" fillId="95" borderId="39" applyAlignment="1" pivotButton="0" quotePrefix="0" xfId="0">
      <alignment horizontal="left" vertical="center"/>
    </xf>
    <xf numFmtId="167" fontId="151" fillId="94" borderId="39" applyAlignment="1" pivotButton="0" quotePrefix="0" xfId="0">
      <alignment horizontal="center"/>
    </xf>
    <xf numFmtId="167" fontId="151" fillId="95" borderId="39" applyAlignment="1" pivotButton="0" quotePrefix="0" xfId="0">
      <alignment horizontal="center"/>
    </xf>
    <xf numFmtId="0" fontId="151" fillId="94" borderId="39" applyAlignment="1" pivotButton="0" quotePrefix="0" xfId="0">
      <alignment horizontal="left" vertical="center" indent="2"/>
    </xf>
    <xf numFmtId="0" fontId="151" fillId="95" borderId="39" applyAlignment="1" pivotButton="0" quotePrefix="0" xfId="0">
      <alignment horizontal="left" vertical="center" indent="2"/>
    </xf>
    <xf numFmtId="0" fontId="151" fillId="95" borderId="39" applyAlignment="1" pivotButton="0" quotePrefix="0" xfId="0">
      <alignment horizontal="left" vertical="center" indent="1"/>
    </xf>
    <xf numFmtId="0" fontId="151" fillId="94" borderId="39" applyAlignment="1" pivotButton="0" quotePrefix="0" xfId="0">
      <alignment horizontal="left" vertical="top" wrapText="1" indent="1"/>
    </xf>
    <xf numFmtId="0" fontId="151" fillId="95" borderId="39" applyAlignment="1" pivotButton="0" quotePrefix="0" xfId="0">
      <alignment horizontal="left" vertical="top" wrapText="1" indent="1"/>
    </xf>
    <xf numFmtId="0" fontId="151" fillId="94" borderId="39" applyAlignment="1" pivotButton="0" quotePrefix="0" xfId="0">
      <alignment horizontal="left" vertical="top" indent="1"/>
    </xf>
    <xf numFmtId="0" fontId="151" fillId="95" borderId="39" applyAlignment="1" pivotButton="0" quotePrefix="0" xfId="0">
      <alignment horizontal="right" vertical="top"/>
    </xf>
    <xf numFmtId="0" fontId="151" fillId="95" borderId="39" applyAlignment="1" pivotButton="0" quotePrefix="0" xfId="0">
      <alignment horizontal="left" vertical="top" wrapText="1"/>
    </xf>
    <xf numFmtId="0" fontId="151" fillId="94" borderId="39" applyAlignment="1" pivotButton="0" quotePrefix="0" xfId="0">
      <alignment horizontal="right" vertical="top"/>
    </xf>
    <xf numFmtId="0" fontId="151" fillId="94" borderId="39" applyAlignment="1" pivotButton="0" quotePrefix="0" xfId="0">
      <alignment horizontal="left" vertical="top" wrapText="1"/>
    </xf>
    <xf numFmtId="0" fontId="151" fillId="94" borderId="39" applyAlignment="1" pivotButton="0" quotePrefix="0" xfId="0">
      <alignment horizontal="left" vertical="center" indent="1"/>
    </xf>
    <xf numFmtId="166" fontId="20" fillId="0" borderId="0" pivotButton="0" quotePrefix="0" xfId="0"/>
    <xf numFmtId="9" fontId="151" fillId="95" borderId="39" pivotButton="0" quotePrefix="0" xfId="0"/>
    <xf numFmtId="9" fontId="151" fillId="95" borderId="39" applyAlignment="1" pivotButton="0" quotePrefix="0" xfId="0">
      <alignment horizontal="center"/>
    </xf>
    <xf numFmtId="3" fontId="151" fillId="94" borderId="39" applyAlignment="1" pivotButton="0" quotePrefix="0" xfId="0">
      <alignment horizontal="center" vertical="center" wrapText="1"/>
    </xf>
    <xf numFmtId="3" fontId="151" fillId="95" borderId="39" applyAlignment="1" pivotButton="0" quotePrefix="0" xfId="0">
      <alignment horizontal="center" vertical="center" wrapText="1"/>
    </xf>
    <xf numFmtId="179" fontId="151" fillId="95" borderId="39" applyAlignment="1" pivotButton="0" quotePrefix="0" xfId="0">
      <alignment horizontal="center" vertical="center" wrapText="1"/>
    </xf>
    <xf numFmtId="164" fontId="151" fillId="94" borderId="39" applyAlignment="1" pivotButton="0" quotePrefix="0" xfId="0">
      <alignment horizontal="center" vertical="center" wrapText="1"/>
    </xf>
    <xf numFmtId="165" fontId="151" fillId="94" borderId="39" applyAlignment="1" pivotButton="0" quotePrefix="0" xfId="0">
      <alignment vertical="center" wrapText="1"/>
    </xf>
    <xf numFmtId="0" fontId="151" fillId="95" borderId="39" applyAlignment="1" pivotButton="0" quotePrefix="0" xfId="0">
      <alignment horizontal="center"/>
    </xf>
    <xf numFmtId="165" fontId="151" fillId="95" borderId="39" applyAlignment="1" pivotButton="0" quotePrefix="0" xfId="0">
      <alignment horizontal="center" vertical="center"/>
    </xf>
    <xf numFmtId="165" fontId="151" fillId="95" borderId="39" pivotButton="0" quotePrefix="0" xfId="0"/>
    <xf numFmtId="0" fontId="151" fillId="94" borderId="39" applyAlignment="1" pivotButton="0" quotePrefix="0" xfId="0">
      <alignment horizontal="center"/>
    </xf>
    <xf numFmtId="165" fontId="151" fillId="94" borderId="39" applyAlignment="1" pivotButton="0" quotePrefix="0" xfId="0">
      <alignment horizontal="center" vertical="center"/>
    </xf>
    <xf numFmtId="165" fontId="151" fillId="94" borderId="39" pivotButton="0" quotePrefix="0" xfId="0"/>
    <xf numFmtId="164" fontId="20" fillId="0" borderId="3" pivotButton="0" quotePrefix="0" xfId="0"/>
    <xf numFmtId="164" fontId="151" fillId="95" borderId="39" applyAlignment="1" pivotButton="0" quotePrefix="0" xfId="0">
      <alignment horizontal="left" vertical="center"/>
    </xf>
    <xf numFmtId="164" fontId="151" fillId="94" borderId="39" applyAlignment="1" pivotButton="0" quotePrefix="0" xfId="0">
      <alignment horizontal="left" vertical="center"/>
    </xf>
    <xf numFmtId="0" fontId="149" fillId="96" borderId="39" applyAlignment="1" pivotButton="0" quotePrefix="0" xfId="0">
      <alignment horizontal="right"/>
    </xf>
    <xf numFmtId="0" fontId="149" fillId="93" borderId="39" applyAlignment="1" applyProtection="1" pivotButton="0" quotePrefix="0" xfId="0">
      <alignment horizontal="center" vertical="center" wrapText="1"/>
      <protection locked="0" hidden="0"/>
    </xf>
    <xf numFmtId="0" fontId="151" fillId="94" borderId="39" applyProtection="1" pivotButton="0" quotePrefix="0" xfId="0">
      <protection locked="0" hidden="0"/>
    </xf>
    <xf numFmtId="0" fontId="151" fillId="94" borderId="39" applyAlignment="1" pivotButton="0" quotePrefix="0" xfId="0">
      <alignment horizontal="left"/>
    </xf>
    <xf numFmtId="0" fontId="151" fillId="95" borderId="39" applyAlignment="1" applyProtection="1" pivotButton="0" quotePrefix="0" xfId="0">
      <alignment horizontal="right"/>
      <protection locked="0" hidden="0"/>
    </xf>
    <xf numFmtId="0" fontId="151" fillId="95" borderId="39" applyProtection="1" pivotButton="0" quotePrefix="0" xfId="0">
      <protection locked="0" hidden="0"/>
    </xf>
    <xf numFmtId="0" fontId="151" fillId="95" borderId="39" applyAlignment="1" applyProtection="1" pivotButton="0" quotePrefix="0" xfId="0">
      <alignment horizontal="left"/>
      <protection locked="0" hidden="0"/>
    </xf>
    <xf numFmtId="0" fontId="151" fillId="95" borderId="39" applyAlignment="1" applyProtection="1" pivotButton="0" quotePrefix="0" xfId="0">
      <alignment horizontal="center"/>
      <protection locked="0" hidden="0"/>
    </xf>
    <xf numFmtId="0" fontId="151" fillId="95" borderId="39" applyAlignment="1" applyProtection="1" pivotButton="0" quotePrefix="0" xfId="0">
      <alignment horizontal="center" vertical="center" wrapText="1"/>
      <protection locked="0" hidden="0"/>
    </xf>
    <xf numFmtId="172" fontId="94" fillId="5" borderId="0" applyProtection="1" pivotButton="0" quotePrefix="0" xfId="0">
      <protection locked="0" hidden="0"/>
    </xf>
    <xf numFmtId="172" fontId="151" fillId="94" borderId="39" applyProtection="1" pivotButton="0" quotePrefix="0" xfId="0">
      <protection locked="0" hidden="0"/>
    </xf>
    <xf numFmtId="17" fontId="151" fillId="94" borderId="39" applyAlignment="1" applyProtection="1" pivotButton="0" quotePrefix="0" xfId="0">
      <alignment horizontal="center" vertical="center"/>
      <protection locked="0" hidden="0"/>
    </xf>
    <xf numFmtId="180" fontId="151" fillId="94" borderId="39" applyAlignment="1" pivotButton="0" quotePrefix="0" xfId="0">
      <alignment horizontal="center" vertical="center"/>
    </xf>
    <xf numFmtId="179" fontId="151" fillId="94" borderId="39" applyAlignment="1" pivotButton="0" quotePrefix="0" xfId="0">
      <alignment horizontal="center" vertical="center"/>
    </xf>
    <xf numFmtId="17" fontId="151" fillId="94" borderId="39" applyAlignment="1" pivotButton="0" quotePrefix="0" xfId="0">
      <alignment horizontal="center" vertical="center"/>
    </xf>
    <xf numFmtId="172" fontId="96" fillId="5" borderId="0" applyProtection="1" pivotButton="0" quotePrefix="0" xfId="0">
      <protection locked="0" hidden="0"/>
    </xf>
    <xf numFmtId="172" fontId="151" fillId="95" borderId="39" applyProtection="1" pivotButton="0" quotePrefix="0" xfId="0">
      <protection locked="0" hidden="0"/>
    </xf>
    <xf numFmtId="172" fontId="151" fillId="95" borderId="39" pivotButton="0" quotePrefix="0" xfId="0"/>
    <xf numFmtId="172" fontId="151" fillId="95" borderId="39" applyAlignment="1" applyProtection="1" pivotButton="0" quotePrefix="0" xfId="0">
      <alignment horizontal="center" vertical="center"/>
      <protection locked="0" hidden="0"/>
    </xf>
    <xf numFmtId="173" fontId="151" fillId="95" borderId="39" pivotButton="0" quotePrefix="0" xfId="0"/>
    <xf numFmtId="173" fontId="151" fillId="95" borderId="39" applyProtection="1" pivotButton="0" quotePrefix="0" xfId="0">
      <protection locked="0" hidden="0"/>
    </xf>
    <xf numFmtId="172" fontId="151" fillId="94" borderId="39" pivotButton="0" quotePrefix="0" xfId="0"/>
    <xf numFmtId="173" fontId="151" fillId="94" borderId="39" pivotButton="0" quotePrefix="0" xfId="0"/>
    <xf numFmtId="174" fontId="151" fillId="94" borderId="39" pivotButton="0" quotePrefix="0" xfId="0"/>
    <xf numFmtId="174" fontId="151" fillId="95" borderId="39" pivotButton="0" quotePrefix="0" xfId="0"/>
    <xf numFmtId="173" fontId="151" fillId="94" borderId="39" applyProtection="1" pivotButton="0" quotePrefix="0" xfId="0">
      <protection locked="0" hidden="0"/>
    </xf>
    <xf numFmtId="9" fontId="151" fillId="95" borderId="39" applyProtection="1" pivotButton="0" quotePrefix="0" xfId="0">
      <protection locked="0" hidden="0"/>
    </xf>
    <xf numFmtId="166" fontId="151" fillId="95" borderId="39" applyProtection="1" pivotButton="0" quotePrefix="0" xfId="0">
      <protection locked="0" hidden="0"/>
    </xf>
    <xf numFmtId="9" fontId="151" fillId="94" borderId="39" applyProtection="1" pivotButton="0" quotePrefix="0" xfId="0">
      <protection locked="0" hidden="0"/>
    </xf>
    <xf numFmtId="166" fontId="151" fillId="94" borderId="39" applyProtection="1" pivotButton="0" quotePrefix="0" xfId="0">
      <protection locked="0" hidden="0"/>
    </xf>
    <xf numFmtId="164" fontId="151" fillId="95" borderId="39" applyProtection="1" pivotButton="0" quotePrefix="0" xfId="0">
      <protection locked="0" hidden="0"/>
    </xf>
    <xf numFmtId="0" fontId="151" fillId="94" borderId="39" applyAlignment="1" applyProtection="1" pivotButton="0" quotePrefix="0" xfId="0">
      <alignment horizontal="center"/>
      <protection locked="0" hidden="0"/>
    </xf>
    <xf numFmtId="172" fontId="151" fillId="95" borderId="39" applyAlignment="1" pivotButton="0" quotePrefix="0" xfId="0">
      <alignment horizontal="center" vertical="center"/>
    </xf>
    <xf numFmtId="9" fontId="151" fillId="94" borderId="39" applyAlignment="1" pivotButton="0" quotePrefix="0" xfId="0">
      <alignment horizontal="center" vertical="center"/>
    </xf>
    <xf numFmtId="9" fontId="151" fillId="95" borderId="39" applyAlignment="1" pivotButton="0" quotePrefix="0" xfId="0">
      <alignment horizontal="center" vertical="center"/>
    </xf>
    <xf numFmtId="10" fontId="151" fillId="95" borderId="39" applyAlignment="1" pivotButton="0" quotePrefix="0" xfId="0">
      <alignment horizontal="center" vertical="center"/>
    </xf>
    <xf numFmtId="10" fontId="151" fillId="94" borderId="39" applyAlignment="1" pivotButton="0" quotePrefix="0" xfId="0">
      <alignment horizontal="center" vertical="center"/>
    </xf>
    <xf numFmtId="169" fontId="151" fillId="95" borderId="39" applyAlignment="1" pivotButton="0" quotePrefix="0" xfId="0">
      <alignment horizontal="center" vertical="center" wrapText="1"/>
    </xf>
    <xf numFmtId="169" fontId="151" fillId="94" borderId="39" applyAlignment="1" pivotButton="0" quotePrefix="0" xfId="0">
      <alignment horizontal="center" vertical="center" wrapText="1"/>
    </xf>
    <xf numFmtId="169" fontId="151" fillId="95" borderId="39" pivotButton="0" quotePrefix="0" xfId="0"/>
    <xf numFmtId="3" fontId="151" fillId="94" borderId="39" applyAlignment="1" pivotButton="0" quotePrefix="0" xfId="0">
      <alignment horizontal="right" vertical="center"/>
    </xf>
    <xf numFmtId="3" fontId="151" fillId="95" borderId="39" applyAlignment="1" pivotButton="0" quotePrefix="0" xfId="0">
      <alignment horizontal="right" vertical="center"/>
    </xf>
    <xf numFmtId="169" fontId="149" fillId="96" borderId="39" applyAlignment="1" pivotButton="0" quotePrefix="0" xfId="0">
      <alignment horizontal="right"/>
    </xf>
    <xf numFmtId="169" fontId="151" fillId="94" borderId="39" pivotButton="0" quotePrefix="0" xfId="0"/>
    <xf numFmtId="171" fontId="151" fillId="95" borderId="39" pivotButton="0" quotePrefix="0" xfId="0"/>
    <xf numFmtId="171" fontId="151" fillId="94" borderId="39" pivotButton="0" quotePrefix="0" xfId="0"/>
    <xf numFmtId="170" fontId="151" fillId="95" borderId="39" pivotButton="0" quotePrefix="0" xfId="0"/>
    <xf numFmtId="179" fontId="151" fillId="95" borderId="39" applyAlignment="1" applyProtection="1" pivotButton="0" quotePrefix="0" xfId="0">
      <alignment horizontal="center"/>
      <protection locked="0" hidden="0"/>
    </xf>
    <xf numFmtId="164" fontId="151" fillId="94" borderId="39" applyProtection="1" pivotButton="0" quotePrefix="0" xfId="0">
      <protection locked="0" hidden="0"/>
    </xf>
    <xf numFmtId="0" fontId="151" fillId="94" borderId="39" applyAlignment="1" applyProtection="1" pivotButton="0" quotePrefix="0" xfId="0">
      <alignment horizontal="center" vertical="center" wrapText="1"/>
      <protection locked="0" hidden="0"/>
    </xf>
    <xf numFmtId="17" fontId="151" fillId="95" borderId="39" applyAlignment="1" pivotButton="0" quotePrefix="0" xfId="0">
      <alignment horizontal="center" vertical="center"/>
    </xf>
  </cellXfs>
  <cellStyles count="10">
    <cellStyle name="Normal" xfId="0" builtinId="0"/>
    <cellStyle name="Millares [0] 2" xfId="1"/>
    <cellStyle name="Moneda [0] 2" xfId="2"/>
    <cellStyle name="Normal 2" xfId="3"/>
    <cellStyle name="Normal 3" xfId="4"/>
    <cellStyle name="Normal 4" xfId="5"/>
    <cellStyle name="WinCalendar_BlankCells_28" xfId="6"/>
    <cellStyle name="Hipervínculo" xfId="7" builtinId="8"/>
    <cellStyle name="Hipervínculo visitado" xfId="8" builtinId="9"/>
    <cellStyle name="Moneda [0]" xfId="9" builtinId="7"/>
  </cellStyles>
  <dxfs count="28">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7"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7"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
      <fill>
        <patternFill>
          <bgColor theme="8" tint="0.7997985778374584"/>
        </patternFill>
      </fill>
    </dxf>
  </dxfs>
  <tableStyles count="0" defaultTableStyle="TableStyleMedium2" defaultPivotStyle="PivotStyleLight16"/>
  <colors>
    <indexedColors>
      <rgbColor rgb="FF000000"/>
      <rgbColor rgb="FFFFFFFF"/>
      <rgbColor rgb="FFFF0000"/>
      <rgbColor rgb="FFE2EFDA"/>
      <rgbColor rgb="FFF7F7F7"/>
      <rgbColor rgb="FFFFFF00"/>
      <rgbColor rgb="FFFDE2E6"/>
      <rgbColor rgb="FFDAE3F3"/>
      <rgbColor rgb="FFC00000"/>
      <rgbColor rgb="FFE7E6E9"/>
      <rgbColor rgb="FFFFF9E6"/>
      <rgbColor rgb="FF7F4B00"/>
      <rgbColor rgb="FFF2F2F2"/>
      <rgbColor rgb="FF2E75B6"/>
      <rgbColor rgb="FFBFBFBF"/>
      <rgbColor rgb="FFD9D9DD"/>
      <rgbColor rgb="FF5B9BD5"/>
      <rgbColor rgb="FF7030A0"/>
      <rgbColor rgb="FFFFFFCC"/>
      <rgbColor rgb="FFDEEBF7"/>
      <rgbColor rgb="FFEAF5E9"/>
      <rgbColor rgb="FFD0CECE"/>
      <rgbColor rgb="FF0070C0"/>
      <rgbColor rgb="FFBDD7EE"/>
      <rgbColor rgb="FFFFF9E7"/>
      <rgbColor rgb="FFF5EBF7"/>
      <rgbColor rgb="FFFFF2CC"/>
      <rgbColor rgb="FFDEEAF1"/>
      <rgbColor rgb="FFEBF3FB"/>
      <rgbColor rgb="FFFDF2E9"/>
      <rgbColor rgb="FF1A5277"/>
      <rgbColor rgb="FFF9FAFB"/>
      <rgbColor rgb="FFD9DDE5"/>
      <rgbColor rgb="FFE8F0FA"/>
      <rgbColor rgb="FFE2F0D9"/>
      <rgbColor rgb="FFFFF3CD"/>
      <rgbColor rgb="FF9DC3E6"/>
      <rgbColor rgb="FFCCCCCC"/>
      <rgbColor rgb="FFC6BFBC"/>
      <rgbColor rgb="FFFFD66A"/>
      <rgbColor rgb="FF3275BE"/>
      <rgbColor rgb="FFD6E4F0"/>
      <rgbColor rgb="FFA9D18E"/>
      <rgbColor rgb="FFFCE4D6"/>
      <rgbColor rgb="FFFDEBD2"/>
      <rgbColor rgb="FFED7D31"/>
      <rgbColor rgb="FF5E5E5E"/>
      <rgbColor rgb="FFAFB5C1"/>
      <rgbColor rgb="FF1B2A3C"/>
      <rgbColor rgb="FF70AD47"/>
      <rgbColor rgb="FFF0F4F8"/>
      <rgbColor rgb="FF375623"/>
      <rgbColor rgb="FF7F3F00"/>
      <rgbColor rgb="FFC55A11"/>
      <rgbColor rgb="FF1F4E7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tc={06D97211-FCC6-4E6D-9F14-E13445588963}</author>
  </authors>
  <commentList>
    <comment ref="B19" authorId="0"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@Soto Tellez, Rodrigo  acá el ajuste
</t>
      </text>
    </comment>
  </commentList>
</comments>
</file>

<file path=xl/comments/comment2.xml><?xml version="1.0" encoding="utf-8"?>
<comments xmlns="http://schemas.openxmlformats.org/spreadsheetml/2006/main">
  <authors>
    <author>Unknown Author</author>
  </authors>
  <commentList>
    <comment ref="D53"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54"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60"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61"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124"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125"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131"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132"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List>
</comments>
</file>

<file path=xl/comments/comment3.xml><?xml version="1.0" encoding="utf-8"?>
<comments xmlns="http://schemas.openxmlformats.org/spreadsheetml/2006/main">
  <authors>
    <author>Unknown Author</author>
  </authors>
  <commentList>
    <comment ref="D24"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Nota en Keep</t>
      </text>
    </comment>
    <comment ref="D53"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54"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60"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61"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124"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125"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131"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132"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List>
</comments>
</file>

<file path=xl/comments/comment4.xml><?xml version="1.0" encoding="utf-8"?>
<comments xmlns="http://schemas.openxmlformats.org/spreadsheetml/2006/main">
  <authors>
    <author>Unknown Author</author>
  </authors>
  <commentList>
    <comment ref="D56"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57"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63"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 ref="D64"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con IVA en Analítica y Cash-flow por que es rendición.</t>
      </text>
    </comment>
  </commentList>
</comments>
</file>

<file path=xl/comments/comment5.xml><?xml version="1.0" encoding="utf-8"?>
<comments xmlns="http://schemas.openxmlformats.org/spreadsheetml/2006/main">
  <authors>
    <author>Unknown Author</author>
  </authors>
  <commentList>
    <comment ref="D5" authorId="0" shapeId="0">
      <text>
        <t>Retención vigente para boletas de honorarios 2026. Si cambia el año, actualizar este parámetro.</t>
      </text>
    </comment>
    <comment ref="D11" authorId="0" shapeId="0">
      <text>
        <t>Tasa referencial. Sustituir por la tasa real de mutualidad/accidentabilidad aplicable a ACCIONA si se dispone.</t>
      </text>
    </comment>
    <comment ref="D12" authorId="0" shapeId="0">
      <text>
        <t>Permite agregar costos internos no previsionales: beneficios, provisiones, administración u otro factor corporativo.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4.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tabColor rgb="002E75B6"/>
    <outlinePr summaryBelow="1" summaryRight="1"/>
    <pageSetUpPr/>
  </sheetPr>
  <dimension ref="A1:O92"/>
  <sheetViews>
    <sheetView showGridLines="0" zoomScaleNormal="100" workbookViewId="0">
      <selection activeCell="D8" sqref="D8"/>
    </sheetView>
  </sheetViews>
  <sheetFormatPr baseColWidth="10" defaultColWidth="0" defaultRowHeight="12" outlineLevelRow="1"/>
  <cols>
    <col width="52" customWidth="1" style="489" min="1" max="1"/>
    <col width="52" customWidth="1" style="508" min="2" max="2"/>
    <col outlineLevel="1" width="45" customWidth="1" style="489" min="3" max="3"/>
    <col outlineLevel="1" width="45" customWidth="1" style="489" min="4" max="5"/>
    <col width="45" customWidth="1" style="549" min="5" max="5"/>
    <col outlineLevel="1" width="45" customWidth="1" style="489" min="6" max="6"/>
    <col outlineLevel="1" width="45" customWidth="1" style="489" min="7" max="8"/>
    <col width="45" customWidth="1" style="549" min="8" max="8"/>
    <col outlineLevel="1" width="45" customWidth="1" style="489" min="9" max="9"/>
    <col width="41" bestFit="1" customWidth="1" style="489" min="10" max="10"/>
    <col width="19" bestFit="1" customWidth="1" style="489" min="11" max="11"/>
    <col width="15" bestFit="1" customWidth="1" style="489" min="12" max="13"/>
    <col width="15" customWidth="1" style="549" min="13" max="13"/>
    <col width="13" bestFit="1" customWidth="1" style="489" min="14" max="14"/>
    <col width="13" customWidth="1" style="489" min="15" max="15"/>
    <col width="11.42578125" bestFit="1" customWidth="1" style="489" min="16" max="17"/>
    <col hidden="1" width="11.42578125" customWidth="1" style="489" min="18" max="16384"/>
  </cols>
  <sheetData>
    <row r="1" ht="22" customHeight="1" s="549">
      <c r="A1" s="674" t="inlineStr">
        <is>
          <t>PRESUPUESTO OFICIAL — PROYECTO LUZ EN CASA · GORE COQUIMBO</t>
        </is>
      </c>
    </row>
    <row r="2" ht="14" customHeight="1" s="549">
      <c r="A2" s="675" t="inlineStr">
        <is>
          <t>Financiamiento FNDR Subtítulo 33 · 75 sistemas FV domiciliarios · Cofinanciamiento 50% / 50%</t>
        </is>
      </c>
    </row>
    <row r="3"/>
    <row r="4" customFormat="1" s="676"/>
    <row r="5" ht="30" customHeight="1" s="549">
      <c r="A5" s="677" t="n"/>
      <c r="B5" s="677" t="inlineStr">
        <is>
          <t>Ítem / Descripción</t>
        </is>
      </c>
      <c r="C5" s="677" t="inlineStr">
        <is>
          <t>Ago 2026</t>
        </is>
      </c>
      <c r="D5" s="677" t="inlineStr">
        <is>
          <t>Sep 2026</t>
        </is>
      </c>
      <c r="E5" s="677" t="inlineStr">
        <is>
          <t>Oct 2026</t>
        </is>
      </c>
      <c r="F5" s="677" t="inlineStr">
        <is>
          <t>Nov 2026</t>
        </is>
      </c>
      <c r="G5" s="677" t="inlineStr">
        <is>
          <t>Dic 2026</t>
        </is>
      </c>
      <c r="H5" s="677" t="inlineStr">
        <is>
          <t>Ene 2027</t>
        </is>
      </c>
      <c r="I5" s="677" t="inlineStr">
        <is>
          <t>Feb 2027</t>
        </is>
      </c>
      <c r="J5" s="677" t="inlineStr">
        <is>
          <t>TOTAL</t>
        </is>
      </c>
      <c r="K5" s="677" t="n"/>
      <c r="L5" s="677" t="inlineStr">
        <is>
          <t>GORE</t>
        </is>
      </c>
      <c r="M5" s="677" t="inlineStr">
        <is>
          <t>FUNDACIÓN</t>
        </is>
      </c>
      <c r="N5" s="677" t="n"/>
      <c r="O5" s="677" t="n"/>
    </row>
    <row r="6" ht="15" customHeight="1" s="549">
      <c r="A6" s="678" t="n">
        <v>1</v>
      </c>
      <c r="B6" s="679" t="inlineStr">
        <is>
          <t xml:space="preserve"> Diagnóstico general y catastro básico de hogares en La Higuera</t>
        </is>
      </c>
      <c r="C6" s="680">
        <f>+'Valorización Componentes'!C4</f>
        <v/>
      </c>
      <c r="D6" s="680">
        <f>+'Valorización Componentes'!D4</f>
        <v/>
      </c>
      <c r="E6" s="680">
        <f>+'Valorización Componentes'!E4</f>
        <v/>
      </c>
      <c r="F6" s="680">
        <f>+'Valorización Componentes'!F4</f>
        <v/>
      </c>
      <c r="G6" s="680">
        <f>+'Valorización Componentes'!G4</f>
        <v/>
      </c>
      <c r="H6" s="680">
        <f>+'Valorización Componentes'!H4</f>
        <v/>
      </c>
      <c r="I6" s="680">
        <f>+'Valorización Componentes'!I4</f>
        <v/>
      </c>
      <c r="J6" s="678">
        <f>SUM(C4:I4)</f>
        <v/>
      </c>
      <c r="K6" s="679" t="n"/>
      <c r="L6" s="680">
        <f>+J4</f>
        <v/>
      </c>
      <c r="M6" s="681" t="n"/>
      <c r="N6" s="681" t="n"/>
      <c r="O6" s="681" t="n"/>
    </row>
    <row r="7" ht="15" customHeight="1" s="549">
      <c r="A7" s="682" t="n"/>
      <c r="B7" s="683" t="inlineStr">
        <is>
          <t>Levantamiento y revisión de antecedentes territoriales, sociales y energéticos 90 km radio desde La Serena</t>
        </is>
      </c>
      <c r="C7" s="684" t="n"/>
      <c r="D7" s="684" t="n"/>
      <c r="E7" s="684" t="n"/>
      <c r="F7" s="684" t="n"/>
      <c r="G7" s="684" t="n"/>
      <c r="H7" s="684" t="n"/>
      <c r="I7" s="684" t="n"/>
      <c r="J7" s="685" t="n"/>
      <c r="K7" s="686" t="n"/>
      <c r="L7" s="687" t="n"/>
      <c r="M7" s="686" t="n"/>
      <c r="N7" s="686" t="n"/>
      <c r="O7" s="686" t="n"/>
    </row>
    <row r="8" ht="15" customFormat="1" customHeight="1" s="676">
      <c r="A8" s="688" t="n"/>
      <c r="B8" s="689" t="inlineStr">
        <is>
          <t>Revisión preliminar de sectores, localidades y hogares potencialmente beneficiarios del programa.</t>
        </is>
      </c>
      <c r="C8" s="690" t="n"/>
      <c r="D8" s="690" t="n"/>
      <c r="E8" s="690" t="n"/>
      <c r="F8" s="690" t="n"/>
      <c r="G8" s="690" t="n"/>
      <c r="H8" s="690" t="n"/>
      <c r="I8" s="690" t="n"/>
      <c r="J8" s="685" t="n"/>
      <c r="K8" s="681" t="n"/>
      <c r="L8" s="691" t="n"/>
      <c r="M8" s="681" t="n"/>
      <c r="N8" s="681" t="n"/>
      <c r="O8" s="681" t="n"/>
    </row>
    <row r="9" ht="15" customHeight="1" s="549">
      <c r="A9" s="682" t="n"/>
      <c r="B9" s="683" t="inlineStr">
        <is>
          <t>Elaboración del informe de diagnóstico general y universo inicial de hogares a catastrar.</t>
        </is>
      </c>
      <c r="C9" s="684" t="n"/>
      <c r="D9" s="684" t="n"/>
      <c r="E9" s="684" t="n"/>
      <c r="F9" s="684" t="n"/>
      <c r="G9" s="684" t="n"/>
      <c r="H9" s="684" t="n"/>
      <c r="I9" s="684" t="n"/>
      <c r="J9" s="685" t="n"/>
      <c r="K9" s="686" t="n"/>
      <c r="L9" s="687" t="n"/>
      <c r="M9" s="686" t="n"/>
      <c r="N9" s="686" t="n"/>
      <c r="O9" s="686" t="n"/>
    </row>
    <row r="10" ht="15" customHeight="1" s="549">
      <c r="A10" s="678" t="n">
        <v>2</v>
      </c>
      <c r="B10" s="679" t="inlineStr">
        <is>
          <t>Catastro georeferenciado uno a uno de viviendas</t>
        </is>
      </c>
      <c r="C10" s="680">
        <f>+'Valorización Componentes'!C22</f>
        <v/>
      </c>
      <c r="D10" s="680">
        <f>+'Valorización Componentes'!D22</f>
        <v/>
      </c>
      <c r="E10" s="680">
        <f>+'Valorización Componentes'!E22</f>
        <v/>
      </c>
      <c r="F10" s="680">
        <f>+'Valorización Componentes'!F22</f>
        <v/>
      </c>
      <c r="G10" s="680">
        <f>+'Valorización Componentes'!G22</f>
        <v/>
      </c>
      <c r="H10" s="680">
        <f>+'Valorización Componentes'!H22</f>
        <v/>
      </c>
      <c r="I10" s="680">
        <f>+'Valorización Componentes'!I22</f>
        <v/>
      </c>
      <c r="J10" s="678">
        <f>SUM(C8:I8)</f>
        <v/>
      </c>
      <c r="K10" s="679" t="n"/>
      <c r="L10" s="680">
        <f>+J8</f>
        <v/>
      </c>
      <c r="M10" s="681" t="n"/>
      <c r="N10" s="681" t="n"/>
      <c r="O10" s="681" t="n"/>
    </row>
    <row r="11" ht="15" customHeight="1" s="549">
      <c r="A11" s="682" t="n"/>
      <c r="B11" s="683" t="inlineStr">
        <is>
          <t>Planificación de rutas, sectores de visita y metodología de levantamiento georreferenciado.</t>
        </is>
      </c>
      <c r="C11" s="684" t="n"/>
      <c r="D11" s="684" t="n"/>
      <c r="E11" s="684" t="n"/>
      <c r="F11" s="684" t="n"/>
      <c r="G11" s="684" t="n"/>
      <c r="H11" s="684" t="n"/>
      <c r="I11" s="684" t="n"/>
      <c r="J11" s="685" t="n"/>
      <c r="K11" s="686" t="n"/>
      <c r="L11" s="687" t="n"/>
      <c r="M11" s="686" t="n"/>
      <c r="N11" s="686" t="n"/>
      <c r="O11" s="686" t="n"/>
    </row>
    <row r="12" ht="15" customFormat="1" customHeight="1" s="676">
      <c r="A12" s="688" t="n"/>
      <c r="B12" s="689" t="inlineStr">
        <is>
          <t>Aplicación de ficha de catastro vivienda a vivienda, incluyendo ubicación, condición habitacional y situación energética.</t>
        </is>
      </c>
      <c r="C12" s="690" t="n"/>
      <c r="D12" s="690" t="n"/>
      <c r="E12" s="690" t="n"/>
      <c r="F12" s="690" t="n"/>
      <c r="G12" s="690" t="n"/>
      <c r="H12" s="690" t="n"/>
      <c r="I12" s="690" t="n"/>
      <c r="J12" s="685" t="n"/>
      <c r="K12" s="681" t="n"/>
      <c r="L12" s="691" t="n"/>
      <c r="M12" s="681" t="n"/>
      <c r="N12" s="681" t="n"/>
      <c r="O12" s="681" t="n"/>
    </row>
    <row r="13" ht="15" customHeight="1" s="549">
      <c r="A13" s="682" t="n"/>
      <c r="B13" s="683" t="inlineStr">
        <is>
          <t>Consolidación de base de datos georreferenciada, respaldo fotográfico y mapa de viviendas catastradas.</t>
        </is>
      </c>
      <c r="C13" s="684" t="n"/>
      <c r="D13" s="684" t="n"/>
      <c r="E13" s="684" t="n"/>
      <c r="F13" s="684" t="n"/>
      <c r="G13" s="684" t="n"/>
      <c r="H13" s="684" t="n"/>
      <c r="I13" s="684" t="n"/>
      <c r="J13" s="685" t="n"/>
      <c r="K13" s="686" t="n"/>
      <c r="L13" s="687" t="n"/>
      <c r="M13" s="686" t="n"/>
      <c r="N13" s="686" t="n"/>
      <c r="O13" s="686" t="n"/>
    </row>
    <row r="14" ht="15" customHeight="1" s="549">
      <c r="A14" s="678" t="n">
        <v>3</v>
      </c>
      <c r="B14" s="679" t="inlineStr">
        <is>
          <t>Verificación y sensibilización de usuarios catastrados. Incorporación de beneficiarios a programa de instalación.</t>
        </is>
      </c>
      <c r="C14" s="680">
        <f>+'Valorización Componentes'!C40</f>
        <v/>
      </c>
      <c r="D14" s="680">
        <f>+'Valorización Componentes'!D40</f>
        <v/>
      </c>
      <c r="E14" s="680">
        <f>+'Valorización Componentes'!E40</f>
        <v/>
      </c>
      <c r="F14" s="680">
        <f>+'Valorización Componentes'!F40</f>
        <v/>
      </c>
      <c r="G14" s="680">
        <f>+'Valorización Componentes'!G40</f>
        <v/>
      </c>
      <c r="H14" s="680">
        <f>+'Valorización Componentes'!H40</f>
        <v/>
      </c>
      <c r="I14" s="680">
        <f>+'Valorización Componentes'!I40</f>
        <v/>
      </c>
      <c r="J14" s="678">
        <f>SUM(C12:I12)</f>
        <v/>
      </c>
      <c r="K14" s="679" t="n"/>
      <c r="L14" s="680">
        <f>+J12</f>
        <v/>
      </c>
      <c r="M14" s="681" t="n"/>
      <c r="N14" s="681" t="n"/>
      <c r="O14" s="681" t="n"/>
    </row>
    <row r="15" ht="15" customHeight="1" s="549">
      <c r="A15" s="682" t="n"/>
      <c r="B15" s="683" t="inlineStr">
        <is>
          <t xml:space="preserve">   Verificación en terreno de antecedentes levantados en el catastro y validación de cumplimiento de criterios de elegibilidad.</t>
        </is>
      </c>
      <c r="C15" s="684" t="n"/>
      <c r="D15" s="684" t="n"/>
      <c r="E15" s="684" t="n"/>
      <c r="F15" s="684" t="n"/>
      <c r="G15" s="684" t="n"/>
      <c r="H15" s="684" t="n"/>
      <c r="I15" s="684" t="n"/>
      <c r="J15" s="685" t="n"/>
      <c r="K15" s="686" t="n"/>
      <c r="L15" s="687" t="n"/>
      <c r="M15" s="686" t="n"/>
      <c r="N15" s="686" t="n"/>
      <c r="O15" s="686" t="n"/>
    </row>
    <row r="16" ht="15" customFormat="1" customHeight="1" s="676">
      <c r="A16" s="688" t="n"/>
      <c r="B16" s="689" t="inlineStr">
        <is>
          <t xml:space="preserve">   Ejecución de jornadas de sensibilización sobre alcances del programa, condiciones de participación y responsabilidades del usuario.</t>
        </is>
      </c>
      <c r="C16" s="690" t="n"/>
      <c r="D16" s="690" t="n"/>
      <c r="E16" s="690" t="n"/>
      <c r="F16" s="690" t="n"/>
      <c r="G16" s="690" t="n"/>
      <c r="H16" s="690" t="n"/>
      <c r="I16" s="690" t="n"/>
      <c r="J16" s="685" t="n"/>
      <c r="K16" s="681" t="n"/>
      <c r="L16" s="691" t="n"/>
      <c r="M16" s="681" t="n"/>
      <c r="N16" s="681" t="n"/>
      <c r="O16" s="681" t="n"/>
    </row>
    <row r="17" ht="15" customHeight="1" s="549">
      <c r="A17" s="682" t="n"/>
      <c r="B17" s="683" t="inlineStr">
        <is>
          <t xml:space="preserve">   Elaboración de nómina final de beneficiarios e incorporación formal de usuarios al programa de instalación.</t>
        </is>
      </c>
      <c r="C17" s="684" t="n"/>
      <c r="D17" s="684" t="n"/>
      <c r="E17" s="684" t="n"/>
      <c r="F17" s="684" t="n"/>
      <c r="G17" s="684" t="n"/>
      <c r="H17" s="684" t="n"/>
      <c r="I17" s="684" t="n"/>
      <c r="J17" s="685" t="n"/>
      <c r="K17" s="686" t="n"/>
      <c r="L17" s="687" t="n"/>
      <c r="M17" s="686" t="n"/>
      <c r="N17" s="686" t="n"/>
      <c r="O17" s="686" t="n"/>
    </row>
    <row r="18" ht="15" customHeight="1" s="549">
      <c r="A18" s="678" t="n">
        <v>4</v>
      </c>
      <c r="B18" s="679" t="inlineStr">
        <is>
          <t xml:space="preserve">Capacitación de sistemas ERNC usuarios beneficiario. </t>
        </is>
      </c>
      <c r="C18" s="680">
        <f>+'Valorización Componentes'!C59</f>
        <v/>
      </c>
      <c r="D18" s="680">
        <f>+'Valorización Componentes'!D59</f>
        <v/>
      </c>
      <c r="E18" s="680">
        <f>+'Valorización Componentes'!E59</f>
        <v/>
      </c>
      <c r="F18" s="680">
        <f>+'Valorización Componentes'!F59</f>
        <v/>
      </c>
      <c r="G18" s="680">
        <f>+'Valorización Componentes'!G59</f>
        <v/>
      </c>
      <c r="H18" s="680">
        <f>+'Valorización Componentes'!H59</f>
        <v/>
      </c>
      <c r="I18" s="680">
        <f>+'Valorización Componentes'!I59</f>
        <v/>
      </c>
      <c r="J18" s="678">
        <f>SUM(C16:I16)</f>
        <v/>
      </c>
      <c r="K18" s="679" t="n"/>
      <c r="L18" s="680">
        <f>+J16</f>
        <v/>
      </c>
      <c r="M18" s="681" t="n"/>
      <c r="N18" s="681" t="n"/>
      <c r="O18" s="681" t="n"/>
    </row>
    <row r="19" ht="15" customHeight="1" s="549">
      <c r="A19" s="682" t="n"/>
      <c r="B19" s="683" t="inlineStr">
        <is>
          <t xml:space="preserve">   Diseño de contenidos de capacitación sobre funcionamiento básico, seguridad y cuidados de sistemas ERNC domiciliarios.</t>
        </is>
      </c>
      <c r="C19" s="684" t="n"/>
      <c r="D19" s="684" t="n"/>
      <c r="E19" s="684" t="n"/>
      <c r="F19" s="684" t="n"/>
      <c r="G19" s="684" t="n"/>
      <c r="H19" s="684" t="n"/>
      <c r="I19" s="684" t="n"/>
      <c r="J19" s="685" t="n"/>
      <c r="K19" s="686" t="n"/>
      <c r="L19" s="687" t="n"/>
      <c r="M19" s="686" t="n"/>
      <c r="N19" s="686" t="n"/>
      <c r="O19" s="686" t="n"/>
    </row>
    <row r="20" ht="15" customFormat="1" customHeight="1" s="676">
      <c r="A20" s="688" t="n"/>
      <c r="B20" s="689" t="inlineStr">
        <is>
          <t>Realización de talleres prácticos para usuarios beneficiarios sobre operación diaria del sistema.</t>
        </is>
      </c>
      <c r="C20" s="690" t="n"/>
      <c r="D20" s="690" t="n"/>
      <c r="E20" s="690" t="n"/>
      <c r="F20" s="690" t="n"/>
      <c r="G20" s="690" t="n"/>
      <c r="H20" s="690" t="n"/>
      <c r="I20" s="690" t="n"/>
      <c r="J20" s="685" t="n"/>
      <c r="K20" s="681" t="n"/>
      <c r="L20" s="691" t="n"/>
      <c r="M20" s="681" t="n"/>
      <c r="N20" s="681" t="n"/>
      <c r="O20" s="681" t="n"/>
    </row>
    <row r="21" ht="15" customHeight="1" s="549">
      <c r="A21" s="682" t="n"/>
      <c r="B21" s="683" t="inlineStr">
        <is>
          <t>Evaluación de comprensión de usuarios y entrega de material de apoyo para uso y cuidado del sistema.</t>
        </is>
      </c>
      <c r="C21" s="684" t="n"/>
      <c r="D21" s="684" t="n"/>
      <c r="E21" s="684" t="n"/>
      <c r="F21" s="684" t="n"/>
      <c r="G21" s="684" t="n"/>
      <c r="H21" s="684" t="n"/>
      <c r="I21" s="684" t="n"/>
      <c r="J21" s="685" t="n"/>
      <c r="K21" s="686" t="n"/>
      <c r="L21" s="687" t="n"/>
      <c r="M21" s="686" t="n"/>
      <c r="N21" s="686" t="n"/>
      <c r="O21" s="686" t="n"/>
    </row>
    <row r="22" ht="15" customHeight="1" s="549">
      <c r="A22" s="678" t="n">
        <v>5</v>
      </c>
      <c r="B22" s="679" t="inlineStr">
        <is>
          <t>Implementacion del un modelo de mantenimiento a 10 años</t>
        </is>
      </c>
      <c r="C22" s="680">
        <f>SUM(C21:C22)</f>
        <v/>
      </c>
      <c r="D22" s="680">
        <f>SUM(D21:D22)</f>
        <v/>
      </c>
      <c r="E22" s="680">
        <f>SUM(E21:E22)</f>
        <v/>
      </c>
      <c r="F22" s="680">
        <f>SUM(F21:F22)</f>
        <v/>
      </c>
      <c r="G22" s="680">
        <f>SUM(G21:G22)</f>
        <v/>
      </c>
      <c r="H22" s="680">
        <f>SUM(H21:H22)</f>
        <v/>
      </c>
      <c r="I22" s="680">
        <f>SUM(I21:I22)</f>
        <v/>
      </c>
      <c r="J22" s="678">
        <f>SUM(C20:I20)</f>
        <v/>
      </c>
      <c r="K22" s="679" t="n"/>
      <c r="L22" s="680">
        <f>+J20</f>
        <v/>
      </c>
      <c r="M22" s="681" t="n"/>
      <c r="N22" s="681" t="n"/>
      <c r="O22" s="681" t="n"/>
    </row>
    <row r="23" ht="15" customHeight="1" s="549">
      <c r="A23" s="682" t="n"/>
      <c r="B23" s="683" t="inlineStr">
        <is>
          <t>Prograna de mantenimiento operativo</t>
        </is>
      </c>
      <c r="C23" s="684" t="n"/>
      <c r="D23" s="684" t="n"/>
      <c r="E23" s="684" t="n"/>
      <c r="F23" s="684">
        <f>+'Valorización Componentes'!F77</f>
        <v/>
      </c>
      <c r="G23" s="684" t="n"/>
      <c r="H23" s="684" t="n"/>
      <c r="I23" s="686" t="n"/>
      <c r="J23" s="685" t="n"/>
      <c r="K23" s="686" t="n"/>
      <c r="L23" s="687" t="n"/>
      <c r="M23" s="686" t="n"/>
      <c r="N23" s="686" t="n"/>
      <c r="O23" s="686" t="n"/>
    </row>
    <row r="24" ht="15" customHeight="1" s="549">
      <c r="A24" s="688" t="n"/>
      <c r="B24" s="689" t="inlineStr">
        <is>
          <t>Programa de reposición</t>
        </is>
      </c>
      <c r="C24" s="690" t="n"/>
      <c r="D24" s="690" t="n"/>
      <c r="E24" s="690" t="n"/>
      <c r="F24" s="690" t="n"/>
      <c r="G24" s="690" t="n"/>
      <c r="H24" s="690" t="n"/>
      <c r="I24" s="690">
        <f>+'Valorización Componentes'!I77</f>
        <v/>
      </c>
      <c r="J24" s="685">
        <f>SUM(C22:I22)</f>
        <v/>
      </c>
      <c r="K24" s="681" t="n"/>
      <c r="L24" s="691" t="n"/>
      <c r="M24" s="691">
        <f>+J22</f>
        <v/>
      </c>
      <c r="N24" s="681" t="n"/>
      <c r="O24" s="681" t="n"/>
    </row>
    <row r="25" ht="15" customHeight="1" s="549">
      <c r="A25" s="678" t="n">
        <v>6</v>
      </c>
      <c r="B25" s="679" t="inlineStr">
        <is>
          <t>Sistemas ERNC</t>
        </is>
      </c>
      <c r="C25" s="680">
        <f>+C24+C25</f>
        <v/>
      </c>
      <c r="D25" s="680">
        <f>+D24+D25</f>
        <v/>
      </c>
      <c r="E25" s="680">
        <f>+E24+E25</f>
        <v/>
      </c>
      <c r="F25" s="680">
        <f>+F24+F25</f>
        <v/>
      </c>
      <c r="G25" s="680">
        <f>+G24+G25</f>
        <v/>
      </c>
      <c r="H25" s="680">
        <f>+H24+H25</f>
        <v/>
      </c>
      <c r="I25" s="680">
        <f>+I24+I25</f>
        <v/>
      </c>
      <c r="J25" s="685">
        <f>SUM(C23:I23)</f>
        <v/>
      </c>
      <c r="K25" s="686" t="n"/>
      <c r="L25" s="686" t="n"/>
      <c r="M25" s="687">
        <f>+J23</f>
        <v/>
      </c>
      <c r="N25" s="692">
        <f>2051000*70</f>
        <v/>
      </c>
      <c r="O25" s="692">
        <f>2051000*75</f>
        <v/>
      </c>
    </row>
    <row r="26" ht="15" customFormat="1" customHeight="1" s="676">
      <c r="A26" s="688" t="n"/>
      <c r="B26" s="689" t="inlineStr">
        <is>
          <t>Adquisición de Materiales</t>
        </is>
      </c>
      <c r="C26" s="690">
        <f>+SUM('Valorización Componentes'!C96:C100)</f>
        <v/>
      </c>
      <c r="D26" s="690">
        <f>+SUM('Valorización Componentes'!D96:D100)</f>
        <v/>
      </c>
      <c r="E26" s="690">
        <f>+SUM('Valorización Componentes'!E96:E100)</f>
        <v/>
      </c>
      <c r="F26" s="690">
        <f>+SUM('Valorización Componentes'!F96:F100)</f>
        <v/>
      </c>
      <c r="G26" s="690">
        <f>+SUM('Valorización Componentes'!G96:G100)</f>
        <v/>
      </c>
      <c r="H26" s="690">
        <f>+SUM('Valorización Componentes'!H96:H100)</f>
        <v/>
      </c>
      <c r="I26" s="690">
        <f>+SUM('Valorización Componentes'!I96:I100)</f>
        <v/>
      </c>
      <c r="J26" s="685">
        <f>SUM(C24:I24)</f>
        <v/>
      </c>
      <c r="K26" s="681" t="n"/>
      <c r="L26" s="681" t="n"/>
      <c r="M26" s="691" t="n"/>
      <c r="N26" s="692" t="n"/>
      <c r="O26" s="692" t="n"/>
    </row>
    <row r="27" ht="15" customHeight="1" s="549">
      <c r="A27" s="682" t="n"/>
      <c r="B27" s="683" t="inlineStr">
        <is>
          <t xml:space="preserve">Logistica </t>
        </is>
      </c>
      <c r="C27" s="684">
        <f>+SUM('Valorización Componentes'!C102:C106)</f>
        <v/>
      </c>
      <c r="D27" s="684">
        <f>+SUM('Valorización Componentes'!D102:D106)</f>
        <v/>
      </c>
      <c r="E27" s="684">
        <f>+SUM('Valorización Componentes'!E102:E106)</f>
        <v/>
      </c>
      <c r="F27" s="684">
        <f>+SUM('Valorización Componentes'!F102:F106)</f>
        <v/>
      </c>
      <c r="G27" s="684">
        <f>+SUM('Valorización Componentes'!G102:G106)</f>
        <v/>
      </c>
      <c r="H27" s="684">
        <f>+SUM('Valorización Componentes'!H102:H106)</f>
        <v/>
      </c>
      <c r="I27" s="684">
        <f>+SUM('Valorización Componentes'!I102:I106)</f>
        <v/>
      </c>
      <c r="J27" s="685">
        <f>SUM(C25:I25)</f>
        <v/>
      </c>
      <c r="K27" s="686" t="n"/>
      <c r="L27" s="686" t="n"/>
      <c r="M27" s="687" t="n"/>
      <c r="N27" s="692" t="n"/>
      <c r="O27" s="692" t="n"/>
    </row>
    <row r="28" ht="15" customHeight="1" s="549">
      <c r="A28" s="678" t="n">
        <v>7</v>
      </c>
      <c r="B28" s="679" t="inlineStr">
        <is>
          <t>instalacion</t>
        </is>
      </c>
      <c r="C28" s="680">
        <f>+'Valorización Componentes'!C107</f>
        <v/>
      </c>
      <c r="D28" s="680">
        <f>+'Valorización Componentes'!D107</f>
        <v/>
      </c>
      <c r="E28" s="680">
        <f>+'Valorización Componentes'!E107</f>
        <v/>
      </c>
      <c r="F28" s="680">
        <f>+'Valorización Componentes'!F107</f>
        <v/>
      </c>
      <c r="G28" s="680">
        <f>+'Valorización Componentes'!G107</f>
        <v/>
      </c>
      <c r="H28" s="680">
        <f>+'Valorización Componentes'!H107</f>
        <v/>
      </c>
      <c r="I28" s="680">
        <f>+'Valorización Componentes'!I107</f>
        <v/>
      </c>
      <c r="J28" s="678">
        <f>SUM(C26:I26)</f>
        <v/>
      </c>
      <c r="K28" s="679" t="n"/>
      <c r="L28" s="680">
        <f>+J26</f>
        <v/>
      </c>
      <c r="M28" s="681" t="n"/>
      <c r="N28" s="681" t="n"/>
      <c r="O28" s="681" t="n"/>
    </row>
    <row r="29" ht="15" customHeight="1" s="549">
      <c r="A29" s="682" t="n"/>
      <c r="B29" s="693" t="inlineStr">
        <is>
          <t>Logistica y Abastecimiento</t>
        </is>
      </c>
      <c r="C29" s="684" t="n"/>
      <c r="D29" s="684" t="n"/>
      <c r="E29" s="684" t="n"/>
      <c r="F29" s="684" t="n"/>
      <c r="G29" s="684" t="n"/>
      <c r="H29" s="684" t="n"/>
      <c r="I29" s="684" t="n"/>
      <c r="J29" s="685" t="n"/>
      <c r="K29" s="686" t="n"/>
      <c r="L29" s="687" t="n"/>
      <c r="M29" s="686" t="n"/>
      <c r="N29" s="686" t="n"/>
      <c r="O29" s="686" t="n"/>
    </row>
    <row r="30" ht="15" customFormat="1" customHeight="1" s="676">
      <c r="A30" s="688" t="n"/>
      <c r="B30" s="694" t="inlineStr">
        <is>
          <t>Instalación de Equipos</t>
        </is>
      </c>
      <c r="C30" s="690" t="n"/>
      <c r="D30" s="690" t="n"/>
      <c r="E30" s="690" t="n"/>
      <c r="F30" s="690" t="n"/>
      <c r="G30" s="690" t="n"/>
      <c r="H30" s="690" t="n"/>
      <c r="I30" s="690" t="n"/>
      <c r="J30" s="685" t="n"/>
      <c r="K30" s="681" t="n"/>
      <c r="L30" s="691" t="n"/>
      <c r="M30" s="681" t="n"/>
      <c r="N30" s="681" t="n"/>
      <c r="O30" s="681" t="n"/>
    </row>
    <row r="31" ht="15" customHeight="1" s="549">
      <c r="A31" s="682" t="n"/>
      <c r="B31" s="693" t="inlineStr">
        <is>
          <t>Te1</t>
        </is>
      </c>
      <c r="C31" s="684" t="n"/>
      <c r="D31" s="684" t="n"/>
      <c r="E31" s="684" t="n"/>
      <c r="F31" s="684" t="n"/>
      <c r="G31" s="684" t="n"/>
      <c r="H31" s="684" t="n"/>
      <c r="I31" s="684" t="n"/>
      <c r="J31" s="685" t="n"/>
      <c r="K31" s="686" t="n"/>
      <c r="L31" s="687" t="n"/>
      <c r="M31" s="686" t="n"/>
      <c r="N31" s="686" t="n"/>
      <c r="O31" s="686" t="n"/>
    </row>
    <row r="32" ht="15" customHeight="1" s="549">
      <c r="A32" s="678" t="n">
        <v>8</v>
      </c>
      <c r="B32" s="679" t="inlineStr">
        <is>
          <t>Formación y Asesoria a usuarios de electrodomésticos y uso.</t>
        </is>
      </c>
      <c r="C32" s="680">
        <f>+'Valorización Componentes'!C166</f>
        <v/>
      </c>
      <c r="D32" s="680">
        <f>+'Valorización Componentes'!D166</f>
        <v/>
      </c>
      <c r="E32" s="680">
        <f>+'Valorización Componentes'!E166</f>
        <v/>
      </c>
      <c r="F32" s="680">
        <f>+'Valorización Componentes'!F166</f>
        <v/>
      </c>
      <c r="G32" s="680">
        <f>+'Valorización Componentes'!G166</f>
        <v/>
      </c>
      <c r="H32" s="680">
        <f>+'Valorización Componentes'!H166</f>
        <v/>
      </c>
      <c r="I32" s="680">
        <f>+'Valorización Componentes'!I166</f>
        <v/>
      </c>
      <c r="J32" s="678">
        <f>SUM(C30:I30)</f>
        <v/>
      </c>
      <c r="K32" s="679" t="n"/>
      <c r="L32" s="680">
        <f>+J30</f>
        <v/>
      </c>
      <c r="M32" s="681" t="n"/>
      <c r="N32" s="681" t="n"/>
      <c r="O32" s="681" t="n"/>
    </row>
    <row r="33" ht="15" customFormat="1" customHeight="1" s="676">
      <c r="A33" s="682" t="n"/>
      <c r="B33" s="683" t="inlineStr">
        <is>
          <t>Asesoría a usuarios sobre uso eficiente de electrodomésticos, priorización de consumos y prevención de sobrecargas.</t>
        </is>
      </c>
      <c r="C33" s="684" t="n"/>
      <c r="D33" s="684" t="n"/>
      <c r="E33" s="684" t="n"/>
      <c r="F33" s="684" t="n"/>
      <c r="G33" s="684" t="n"/>
      <c r="H33" s="684" t="n"/>
      <c r="I33" s="684" t="n"/>
      <c r="J33" s="685" t="n"/>
      <c r="K33" s="686" t="n"/>
      <c r="L33" s="687" t="n"/>
      <c r="M33" s="686" t="n"/>
      <c r="N33" s="686" t="n"/>
      <c r="O33" s="686" t="n"/>
    </row>
    <row r="34" ht="15" customHeight="1" s="549">
      <c r="A34" s="688" t="n"/>
      <c r="B34" s="689" t="inlineStr">
        <is>
          <t>Acompañamiento inicial post-instalación para resolver dudas de uso, operación segura y buenas prácticas de consumo.</t>
        </is>
      </c>
      <c r="C34" s="690" t="n"/>
      <c r="D34" s="690" t="n"/>
      <c r="E34" s="690" t="n"/>
      <c r="F34" s="690" t="n"/>
      <c r="G34" s="690" t="n"/>
      <c r="H34" s="690" t="n"/>
      <c r="I34" s="690" t="n"/>
      <c r="J34" s="685" t="n"/>
      <c r="K34" s="681" t="n"/>
      <c r="L34" s="691" t="n"/>
      <c r="M34" s="681" t="n"/>
      <c r="N34" s="681" t="n"/>
      <c r="O34" s="681" t="n"/>
    </row>
    <row r="35" ht="15" customHeight="1" s="549">
      <c r="A35" s="678" t="n">
        <v>9</v>
      </c>
      <c r="B35" s="679" t="inlineStr">
        <is>
          <t>Cierre de proyecto - informes de instalación</t>
        </is>
      </c>
      <c r="C35" s="680">
        <f>+'Valorización Componentes'!C184</f>
        <v/>
      </c>
      <c r="D35" s="680">
        <f>+'Valorización Componentes'!D184</f>
        <v/>
      </c>
      <c r="E35" s="680">
        <f>+'Valorización Componentes'!E184</f>
        <v/>
      </c>
      <c r="F35" s="680">
        <f>+'Valorización Componentes'!F184</f>
        <v/>
      </c>
      <c r="G35" s="680">
        <f>+'Valorización Componentes'!G184</f>
        <v/>
      </c>
      <c r="H35" s="680">
        <f>+'Valorización Componentes'!H184</f>
        <v/>
      </c>
      <c r="I35" s="680">
        <f>+'Valorización Componentes'!I184</f>
        <v/>
      </c>
      <c r="J35" s="678">
        <f>SUM(C33:I33)</f>
        <v/>
      </c>
      <c r="K35" s="679" t="n"/>
      <c r="L35" s="680">
        <f>+J33</f>
        <v/>
      </c>
      <c r="M35" s="686" t="n"/>
      <c r="N35" s="686" t="n"/>
      <c r="O35" s="686" t="n"/>
    </row>
    <row r="36" ht="15" customHeight="1" s="549">
      <c r="A36" s="688" t="n"/>
      <c r="B36" s="689" t="inlineStr">
        <is>
          <t>Revisión y recopilación de actas de instalación, registros fotográficos, fichas técnicas y respaldos por vivienda.</t>
        </is>
      </c>
      <c r="C36" s="690" t="n"/>
      <c r="D36" s="690" t="n"/>
      <c r="E36" s="690" t="n"/>
      <c r="F36" s="690" t="n"/>
      <c r="G36" s="690" t="n"/>
      <c r="H36" s="690" t="n"/>
      <c r="I36" s="690" t="n"/>
      <c r="J36" s="685" t="n"/>
      <c r="K36" s="688" t="n"/>
      <c r="L36" s="689" t="n"/>
      <c r="M36" s="681" t="n"/>
      <c r="N36" s="681" t="n"/>
      <c r="O36" s="681" t="n"/>
    </row>
    <row r="37" ht="15" customFormat="1" customHeight="1" s="492">
      <c r="A37" s="682" t="n"/>
      <c r="B37" s="683" t="inlineStr">
        <is>
          <t>Elaboración de informes técnicos de instalación y puesta en marcha por sistema o grupo de beneficiarios.</t>
        </is>
      </c>
      <c r="C37" s="684" t="n"/>
      <c r="D37" s="684" t="n"/>
      <c r="E37" s="684" t="n"/>
      <c r="F37" s="684" t="n"/>
      <c r="G37" s="684" t="n"/>
      <c r="H37" s="684" t="n"/>
      <c r="I37" s="684" t="n"/>
      <c r="J37" s="685" t="n"/>
      <c r="K37" s="682" t="n"/>
      <c r="L37" s="683" t="n"/>
      <c r="M37" s="686" t="n"/>
      <c r="N37" s="686" t="n"/>
      <c r="O37" s="686" t="n"/>
    </row>
    <row r="38" ht="15" customFormat="1" customHeight="1" s="492">
      <c r="A38" s="688" t="n"/>
      <c r="B38" s="689" t="inlineStr">
        <is>
          <t>Preparación del informe final de cierre del proyecto, consolidando resultados, cumplimiento de metas y medios de verificación.</t>
        </is>
      </c>
      <c r="C38" s="690" t="n"/>
      <c r="D38" s="690" t="n"/>
      <c r="E38" s="690" t="n"/>
      <c r="F38" s="690" t="n"/>
      <c r="G38" s="690" t="n"/>
      <c r="H38" s="690" t="n"/>
      <c r="I38" s="690" t="n"/>
      <c r="J38" s="685" t="n"/>
      <c r="K38" s="688" t="n"/>
      <c r="L38" s="689" t="n"/>
      <c r="M38" s="681" t="n"/>
      <c r="N38" s="681" t="n"/>
      <c r="O38" s="681" t="n"/>
    </row>
    <row r="39" ht="15" customFormat="1" customHeight="1" s="492">
      <c r="A39" s="686" t="n"/>
      <c r="B39" s="695" t="inlineStr">
        <is>
          <t>TOTAL PROYECTO</t>
        </is>
      </c>
      <c r="C39" s="696">
        <f>SUM(C4:C33)</f>
        <v/>
      </c>
      <c r="D39" s="696">
        <f>SUM(D4:D33)</f>
        <v/>
      </c>
      <c r="E39" s="696">
        <f>SUM(E4:E33)</f>
        <v/>
      </c>
      <c r="F39" s="696">
        <f>SUM(F4:F33)</f>
        <v/>
      </c>
      <c r="G39" s="696">
        <f>SUM(G4:G33)</f>
        <v/>
      </c>
      <c r="H39" s="696">
        <f>SUM(H4:H33)</f>
        <v/>
      </c>
      <c r="I39" s="696">
        <f>SUM(I4:I33)</f>
        <v/>
      </c>
      <c r="J39" s="696">
        <f>+J4+J8+J12+J16+J20+J22+J23+J26+J30+J33</f>
        <v/>
      </c>
      <c r="K39" s="687">
        <f>SUM(C37:I37)-J37</f>
        <v/>
      </c>
      <c r="L39" s="687">
        <f>SUM(L4:L33)</f>
        <v/>
      </c>
      <c r="M39" s="687">
        <f>SUM(M4:M33)</f>
        <v/>
      </c>
      <c r="N39" s="686" t="n"/>
      <c r="O39" s="686" t="n"/>
    </row>
    <row r="40" ht="15" customFormat="1" customHeight="1" s="492">
      <c r="A40" s="681" t="n"/>
      <c r="B40" s="697" t="n"/>
      <c r="C40" s="681" t="n"/>
      <c r="D40" s="681" t="n"/>
      <c r="E40" s="681" t="n"/>
      <c r="F40" s="681" t="n"/>
      <c r="G40" s="681" t="n"/>
      <c r="H40" s="681" t="n"/>
      <c r="I40" s="681" t="n"/>
      <c r="J40" s="681" t="n"/>
      <c r="K40" s="681" t="n"/>
      <c r="L40" s="698">
        <f>L37/J37</f>
        <v/>
      </c>
      <c r="M40" s="698">
        <f>M37/J37</f>
        <v/>
      </c>
      <c r="N40" s="681" t="n"/>
      <c r="O40" s="681" t="n"/>
    </row>
    <row r="41" ht="15" customFormat="1" customHeight="1" s="492">
      <c r="A41" s="686" t="n"/>
      <c r="B41" s="699" t="inlineStr">
        <is>
          <t>CERRADO</t>
        </is>
      </c>
      <c r="C41" s="686" t="n"/>
      <c r="D41" s="686" t="n"/>
      <c r="E41" s="686" t="n"/>
      <c r="F41" s="686" t="n"/>
      <c r="G41" s="686" t="n"/>
      <c r="H41" s="686" t="n"/>
      <c r="I41" s="686" t="n"/>
      <c r="J41" s="686" t="n"/>
      <c r="K41" s="686" t="n"/>
      <c r="L41" s="686" t="n"/>
      <c r="M41" s="686" t="n"/>
      <c r="N41" s="686" t="n"/>
      <c r="O41" s="686" t="n"/>
    </row>
    <row r="42" ht="15" customHeight="1" s="549">
      <c r="A42" s="700" t="n"/>
      <c r="B42" s="701" t="inlineStr">
        <is>
          <t>Ítem / Descripción</t>
        </is>
      </c>
      <c r="C42" s="700" t="inlineStr">
        <is>
          <t>Ago 2026</t>
        </is>
      </c>
      <c r="D42" s="700" t="inlineStr">
        <is>
          <t>Sep 2026</t>
        </is>
      </c>
      <c r="E42" s="700" t="inlineStr">
        <is>
          <t>Oct 2026</t>
        </is>
      </c>
      <c r="F42" s="700" t="inlineStr">
        <is>
          <t>Nov 2026</t>
        </is>
      </c>
      <c r="G42" s="700" t="inlineStr">
        <is>
          <t>Dic 2026</t>
        </is>
      </c>
      <c r="H42" s="702" t="inlineStr">
        <is>
          <t>Ene 2027</t>
        </is>
      </c>
      <c r="I42" s="702" t="inlineStr">
        <is>
          <t>Feb 2027</t>
        </is>
      </c>
      <c r="J42" s="703" t="inlineStr">
        <is>
          <t>TOTAL</t>
        </is>
      </c>
      <c r="K42" s="681" t="n"/>
      <c r="L42" s="701" t="inlineStr">
        <is>
          <t>GORE</t>
        </is>
      </c>
      <c r="M42" s="701" t="inlineStr">
        <is>
          <t>FUNDACIÓN</t>
        </is>
      </c>
      <c r="N42" s="681" t="n"/>
      <c r="O42" s="681" t="n"/>
    </row>
    <row r="43" ht="15" customHeight="1" s="549">
      <c r="A43" s="682" t="n">
        <v>1</v>
      </c>
      <c r="B43" s="683" t="inlineStr">
        <is>
          <t xml:space="preserve"> Diagnóstico general y catastro básico de hogares en La Higuera</t>
        </is>
      </c>
      <c r="C43" s="684" t="n">
        <v>7000000</v>
      </c>
      <c r="D43" s="684" t="n">
        <v>0</v>
      </c>
      <c r="E43" s="684" t="n">
        <v>0</v>
      </c>
      <c r="F43" s="684" t="n">
        <v>0</v>
      </c>
      <c r="G43" s="684" t="n">
        <v>0</v>
      </c>
      <c r="H43" s="684" t="n">
        <v>0</v>
      </c>
      <c r="I43" s="684" t="n">
        <v>0</v>
      </c>
      <c r="J43" s="685">
        <f>SUM(C41:I41)</f>
        <v/>
      </c>
      <c r="K43" s="686" t="n"/>
      <c r="L43" s="687">
        <f>+J41</f>
        <v/>
      </c>
      <c r="M43" s="687" t="n"/>
      <c r="N43" s="686" t="n"/>
      <c r="O43" s="686" t="n"/>
    </row>
    <row r="44" ht="15" customHeight="1" s="549">
      <c r="A44" s="688" t="n"/>
      <c r="B44" s="704" t="inlineStr">
        <is>
          <t>Levantamiento y revisión de antecedentes territoriales, sociales y energéticos 90 km radio desde La Serena</t>
        </is>
      </c>
      <c r="C44" s="690" t="n"/>
      <c r="D44" s="690" t="n"/>
      <c r="E44" s="690" t="n"/>
      <c r="F44" s="690" t="n"/>
      <c r="G44" s="690" t="n"/>
      <c r="H44" s="690" t="n"/>
      <c r="I44" s="690" t="n"/>
      <c r="J44" s="685" t="n"/>
      <c r="K44" s="681" t="n"/>
      <c r="L44" s="691" t="n"/>
      <c r="M44" s="681" t="n"/>
      <c r="N44" s="681" t="n"/>
      <c r="O44" s="681" t="n"/>
    </row>
    <row r="45" ht="15" customFormat="1" customHeight="1" s="492">
      <c r="A45" s="682" t="n"/>
      <c r="B45" s="705" t="inlineStr">
        <is>
          <t>Revisión preliminar de sectores, localidades y hogares potencialmente beneficiarios del programa.</t>
        </is>
      </c>
      <c r="C45" s="684" t="n"/>
      <c r="D45" s="684" t="n"/>
      <c r="E45" s="684" t="n"/>
      <c r="F45" s="684" t="n"/>
      <c r="G45" s="684" t="n"/>
      <c r="H45" s="684" t="n"/>
      <c r="I45" s="684" t="n"/>
      <c r="J45" s="685" t="n"/>
      <c r="K45" s="686" t="n"/>
      <c r="L45" s="687" t="n"/>
      <c r="M45" s="686" t="n"/>
      <c r="N45" s="686" t="n"/>
      <c r="O45" s="686" t="n"/>
    </row>
    <row r="46" ht="15" customHeight="1" s="549">
      <c r="A46" s="688" t="n"/>
      <c r="B46" s="704" t="inlineStr">
        <is>
          <t>Elaboración del informe de diagnóstico general y universo inicial de hogares a catastrar.</t>
        </is>
      </c>
      <c r="C46" s="690" t="n"/>
      <c r="D46" s="690" t="n"/>
      <c r="E46" s="690" t="n"/>
      <c r="F46" s="690" t="n"/>
      <c r="G46" s="690" t="n"/>
      <c r="H46" s="690" t="n"/>
      <c r="I46" s="690" t="n"/>
      <c r="J46" s="685" t="n"/>
      <c r="K46" s="681" t="n"/>
      <c r="L46" s="691" t="n"/>
      <c r="M46" s="681" t="n"/>
      <c r="N46" s="681" t="n"/>
      <c r="O46" s="681" t="n"/>
    </row>
    <row r="47" ht="15" customHeight="1" s="549">
      <c r="A47" s="682" t="n">
        <v>2</v>
      </c>
      <c r="B47" s="683" t="inlineStr">
        <is>
          <t>Catastro georeferenciado uno a uno de viviendas</t>
        </is>
      </c>
      <c r="C47" s="684" t="n">
        <v>0</v>
      </c>
      <c r="D47" s="684" t="n">
        <v>11000000</v>
      </c>
      <c r="E47" s="684" t="n">
        <v>0</v>
      </c>
      <c r="F47" s="684" t="n">
        <v>0</v>
      </c>
      <c r="G47" s="684" t="n">
        <v>0</v>
      </c>
      <c r="H47" s="684" t="n">
        <v>0</v>
      </c>
      <c r="I47" s="684" t="n">
        <v>0</v>
      </c>
      <c r="J47" s="685">
        <f>SUM(C45:I45)</f>
        <v/>
      </c>
      <c r="K47" s="686" t="n"/>
      <c r="L47" s="687">
        <f>+J45</f>
        <v/>
      </c>
      <c r="M47" s="687" t="n"/>
      <c r="N47" s="686" t="n"/>
      <c r="O47" s="686" t="n"/>
    </row>
    <row r="48" ht="15" customHeight="1" s="549">
      <c r="A48" s="688" t="n"/>
      <c r="B48" s="704" t="inlineStr">
        <is>
          <t>Planificación de rutas, sectores de visita y metodología de levantamiento georreferenciado.</t>
        </is>
      </c>
      <c r="C48" s="690" t="n"/>
      <c r="D48" s="690" t="n"/>
      <c r="E48" s="690" t="n"/>
      <c r="F48" s="690" t="n"/>
      <c r="G48" s="690" t="n"/>
      <c r="H48" s="690" t="n"/>
      <c r="I48" s="690" t="n"/>
      <c r="J48" s="685" t="n"/>
      <c r="K48" s="681" t="n"/>
      <c r="L48" s="691" t="n"/>
      <c r="M48" s="681" t="n"/>
      <c r="N48" s="681" t="n"/>
      <c r="O48" s="681" t="n"/>
    </row>
    <row r="49" ht="15" customFormat="1" customHeight="1" s="492">
      <c r="A49" s="682" t="n"/>
      <c r="B49" s="705" t="inlineStr">
        <is>
          <t>Aplicación de ficha de catastro vivienda a vivienda, incluyendo ubicación, condición habitacional y situación energética.</t>
        </is>
      </c>
      <c r="C49" s="684" t="n"/>
      <c r="D49" s="684" t="n"/>
      <c r="E49" s="684" t="n"/>
      <c r="F49" s="684" t="n"/>
      <c r="G49" s="684" t="n"/>
      <c r="H49" s="684" t="n"/>
      <c r="I49" s="684" t="n"/>
      <c r="J49" s="685" t="n"/>
      <c r="K49" s="686" t="n"/>
      <c r="L49" s="687" t="n"/>
      <c r="M49" s="686" t="n"/>
      <c r="N49" s="686" t="n"/>
      <c r="O49" s="686" t="n"/>
    </row>
    <row r="50" ht="15" customHeight="1" s="549">
      <c r="A50" s="688" t="n"/>
      <c r="B50" s="704" t="inlineStr">
        <is>
          <t>Consolidación de base de datos georreferenciada, respaldo fotográfico y mapa de viviendas catastradas.</t>
        </is>
      </c>
      <c r="C50" s="690" t="n"/>
      <c r="D50" s="690" t="n"/>
      <c r="E50" s="690" t="n"/>
      <c r="F50" s="690" t="n"/>
      <c r="G50" s="690" t="n"/>
      <c r="H50" s="690" t="n"/>
      <c r="I50" s="690" t="n"/>
      <c r="J50" s="685" t="n"/>
      <c r="K50" s="681" t="n"/>
      <c r="L50" s="691" t="n"/>
      <c r="M50" s="681" t="n"/>
      <c r="N50" s="681" t="n"/>
      <c r="O50" s="681" t="n"/>
    </row>
    <row r="51" ht="15" customHeight="1" s="549">
      <c r="A51" s="682" t="n">
        <v>3</v>
      </c>
      <c r="B51" s="683" t="inlineStr">
        <is>
          <t>Verificación y sensibilización de usuarios catastrados. Incorporación de beneficiarios a programa de energía.</t>
        </is>
      </c>
      <c r="C51" s="684" t="n">
        <v>0</v>
      </c>
      <c r="D51" s="684" t="n">
        <v>0</v>
      </c>
      <c r="E51" s="684" t="n">
        <v>9000000</v>
      </c>
      <c r="F51" s="684" t="n">
        <v>0</v>
      </c>
      <c r="G51" s="684" t="n">
        <v>0</v>
      </c>
      <c r="H51" s="684" t="n">
        <v>0</v>
      </c>
      <c r="I51" s="684" t="n">
        <v>0</v>
      </c>
      <c r="J51" s="685">
        <f>SUM(C49:I49)</f>
        <v/>
      </c>
      <c r="K51" s="686" t="n"/>
      <c r="L51" s="687">
        <f>+J49</f>
        <v/>
      </c>
      <c r="M51" s="687" t="n"/>
      <c r="N51" s="686" t="n"/>
      <c r="O51" s="686" t="n"/>
    </row>
    <row r="52" ht="15" customHeight="1" s="549">
      <c r="A52" s="688" t="n"/>
      <c r="B52" s="704" t="inlineStr">
        <is>
          <t>Verificación en terreno de antecedentes levantados en el catastro y validación de cumplimiento de criterios de elegibilidad.</t>
        </is>
      </c>
      <c r="C52" s="690" t="n"/>
      <c r="D52" s="690" t="n"/>
      <c r="E52" s="690" t="n"/>
      <c r="F52" s="690" t="n"/>
      <c r="G52" s="690" t="n"/>
      <c r="H52" s="690" t="n"/>
      <c r="I52" s="690" t="n"/>
      <c r="J52" s="685" t="n"/>
      <c r="K52" s="681" t="n"/>
      <c r="L52" s="691" t="n"/>
      <c r="M52" s="681" t="n"/>
      <c r="N52" s="681" t="n"/>
      <c r="O52" s="681" t="n"/>
    </row>
    <row r="53" ht="15" customFormat="1" customHeight="1" s="492">
      <c r="A53" s="682" t="n"/>
      <c r="B53" s="705" t="inlineStr">
        <is>
          <t>Ejecución de jornadas de sensibilización sobre alcances del programa, condiciones de participación y responsabilidades del usuario.</t>
        </is>
      </c>
      <c r="C53" s="684" t="n"/>
      <c r="D53" s="684" t="n"/>
      <c r="E53" s="684" t="n"/>
      <c r="F53" s="684" t="n"/>
      <c r="G53" s="684" t="n"/>
      <c r="H53" s="684" t="n"/>
      <c r="I53" s="684" t="n"/>
      <c r="J53" s="685" t="n"/>
      <c r="K53" s="686" t="n"/>
      <c r="L53" s="687" t="n"/>
      <c r="M53" s="686" t="n"/>
      <c r="N53" s="686" t="n"/>
      <c r="O53" s="686" t="n"/>
    </row>
    <row r="54" ht="15" customHeight="1" s="549">
      <c r="A54" s="688" t="n"/>
      <c r="B54" s="704" t="inlineStr">
        <is>
          <t>Elaboración de nómina final de beneficiarios e incorporación formal de usuarios al programa de instalación.</t>
        </is>
      </c>
      <c r="C54" s="690" t="n"/>
      <c r="D54" s="690" t="n"/>
      <c r="E54" s="690" t="n"/>
      <c r="F54" s="690" t="n"/>
      <c r="G54" s="690" t="n"/>
      <c r="H54" s="690" t="n"/>
      <c r="I54" s="690" t="n"/>
      <c r="J54" s="685" t="n"/>
      <c r="K54" s="681" t="n"/>
      <c r="L54" s="691" t="n"/>
      <c r="M54" s="681" t="n"/>
      <c r="N54" s="681" t="n"/>
      <c r="O54" s="681" t="n"/>
    </row>
    <row r="55" ht="15" customHeight="1" s="549">
      <c r="A55" s="682" t="n">
        <v>4</v>
      </c>
      <c r="B55" s="683" t="inlineStr">
        <is>
          <t xml:space="preserve">Capacitación de sistemas ERNC usuarios beneficiario. </t>
        </is>
      </c>
      <c r="C55" s="684" t="n">
        <v>0</v>
      </c>
      <c r="D55" s="684" t="n">
        <v>0</v>
      </c>
      <c r="E55" s="684" t="n">
        <v>9000000</v>
      </c>
      <c r="F55" s="684" t="n">
        <v>0</v>
      </c>
      <c r="G55" s="684" t="n">
        <v>0</v>
      </c>
      <c r="H55" s="684" t="n">
        <v>0</v>
      </c>
      <c r="I55" s="684" t="n">
        <v>0</v>
      </c>
      <c r="J55" s="685">
        <f>SUM(C53:I53)</f>
        <v/>
      </c>
      <c r="K55" s="686" t="n"/>
      <c r="L55" s="687">
        <f>+J53</f>
        <v/>
      </c>
      <c r="M55" s="687" t="n"/>
      <c r="N55" s="686" t="n"/>
      <c r="O55" s="686" t="n"/>
    </row>
    <row r="56" ht="15" customHeight="1" s="549">
      <c r="A56" s="681" t="n"/>
      <c r="B56" s="704" t="inlineStr">
        <is>
          <t>Diseño de contenidos de capacitación sobre funcionamiento básico, seguridad y cuidados de sistemas ERNC domiciliarios.</t>
        </is>
      </c>
      <c r="C56" s="690" t="n"/>
      <c r="D56" s="690" t="n"/>
      <c r="E56" s="690" t="n"/>
      <c r="F56" s="690" t="n"/>
      <c r="G56" s="690" t="n"/>
      <c r="H56" s="690" t="n"/>
      <c r="I56" s="690" t="n"/>
      <c r="J56" s="685" t="n"/>
      <c r="K56" s="681" t="n"/>
      <c r="L56" s="691" t="n"/>
      <c r="M56" s="681" t="n"/>
      <c r="N56" s="681" t="n"/>
      <c r="O56" s="681" t="n"/>
    </row>
    <row r="57" ht="15" customFormat="1" customHeight="1" s="492">
      <c r="A57" s="686" t="n"/>
      <c r="B57" s="705" t="inlineStr">
        <is>
          <t>Realización de talleres prácticos para usuarios beneficiarios sobre operación diaria del sistema.</t>
        </is>
      </c>
      <c r="C57" s="684" t="n"/>
      <c r="D57" s="684" t="n"/>
      <c r="E57" s="684" t="n"/>
      <c r="F57" s="684" t="n"/>
      <c r="G57" s="684" t="n"/>
      <c r="H57" s="684" t="n"/>
      <c r="I57" s="684" t="n"/>
      <c r="J57" s="685" t="n"/>
      <c r="K57" s="686" t="n"/>
      <c r="L57" s="687" t="n"/>
      <c r="M57" s="686" t="n"/>
      <c r="N57" s="686" t="n"/>
      <c r="O57" s="686" t="n"/>
    </row>
    <row r="58" outlineLevel="1" ht="15" customFormat="1" customHeight="1" s="492">
      <c r="A58" s="681" t="n"/>
      <c r="B58" s="704" t="inlineStr">
        <is>
          <t>Evaluación de comprensión de usuarios y entrega de material de apoyo para uso y cuidado del sistema.</t>
        </is>
      </c>
      <c r="C58" s="690" t="n"/>
      <c r="D58" s="690" t="n"/>
      <c r="E58" s="690" t="n"/>
      <c r="F58" s="690" t="n"/>
      <c r="G58" s="690" t="n"/>
      <c r="H58" s="690" t="n"/>
      <c r="I58" s="690" t="n"/>
      <c r="J58" s="685" t="n"/>
      <c r="K58" s="681" t="n"/>
      <c r="L58" s="691" t="n"/>
      <c r="M58" s="681" t="n"/>
      <c r="N58" s="681" t="n"/>
      <c r="O58" s="681" t="n"/>
    </row>
    <row r="59" outlineLevel="1" ht="15" customFormat="1" customHeight="1" s="492">
      <c r="A59" s="682" t="n">
        <v>5</v>
      </c>
      <c r="B59" s="683" t="inlineStr">
        <is>
          <t>Implementacion del un modelo de mantenimiento a 10 años</t>
        </is>
      </c>
      <c r="C59" s="684">
        <f>SUM(C58:C59)</f>
        <v/>
      </c>
      <c r="D59" s="684">
        <f>SUM(D58:D59)</f>
        <v/>
      </c>
      <c r="E59" s="684">
        <f>SUM(E58:E59)</f>
        <v/>
      </c>
      <c r="F59" s="684">
        <f>SUM(F58:F59)</f>
        <v/>
      </c>
      <c r="G59" s="684">
        <f>SUM(G58:G59)</f>
        <v/>
      </c>
      <c r="H59" s="684">
        <f>SUM(H58:H59)</f>
        <v/>
      </c>
      <c r="I59" s="684">
        <f>SUM(I58:I59)</f>
        <v/>
      </c>
      <c r="J59" s="685">
        <f>SUM(C57:I57)</f>
        <v/>
      </c>
      <c r="K59" s="686" t="n"/>
      <c r="L59" s="687" t="n"/>
      <c r="M59" s="687" t="n"/>
      <c r="N59" s="686" t="n"/>
      <c r="O59" s="686" t="n"/>
    </row>
    <row r="60" ht="15" customFormat="1" customHeight="1" s="492">
      <c r="A60" s="688" t="n"/>
      <c r="B60" s="704" t="inlineStr">
        <is>
          <t>Reposición y disposición final de bateria e inversor por vida util</t>
        </is>
      </c>
      <c r="C60" s="690" t="n"/>
      <c r="D60" s="690" t="n"/>
      <c r="E60" s="690" t="n"/>
      <c r="F60" s="690" t="n">
        <v>27000000</v>
      </c>
      <c r="G60" s="690" t="n"/>
      <c r="H60" s="690" t="n"/>
      <c r="I60" s="690" t="n"/>
      <c r="J60" s="685">
        <f>SUM(C58:I58)</f>
        <v/>
      </c>
      <c r="K60" s="681" t="n"/>
      <c r="L60" s="691">
        <f>+J58</f>
        <v/>
      </c>
      <c r="M60" s="691" t="n"/>
      <c r="N60" s="681" t="n"/>
      <c r="O60" s="681" t="n"/>
    </row>
    <row r="61" outlineLevel="1" ht="15" customFormat="1" customHeight="1" s="492">
      <c r="A61" s="682" t="n"/>
      <c r="B61" s="705" t="inlineStr">
        <is>
          <t>Reposición de 10% componentes principales x deterioro a 10 años</t>
        </is>
      </c>
      <c r="C61" s="684" t="n"/>
      <c r="D61" s="684" t="n"/>
      <c r="E61" s="684" t="n"/>
      <c r="F61" s="684" t="n"/>
      <c r="G61" s="684" t="n"/>
      <c r="H61" s="684" t="n"/>
      <c r="I61" s="684" t="n">
        <v>9000000</v>
      </c>
      <c r="J61" s="685">
        <f>SUM(C59:I59)</f>
        <v/>
      </c>
      <c r="K61" s="686" t="n"/>
      <c r="L61" s="687" t="n"/>
      <c r="M61" s="687">
        <f>+J59</f>
        <v/>
      </c>
      <c r="N61" s="686" t="n"/>
      <c r="O61" s="686" t="n"/>
    </row>
    <row r="62" outlineLevel="1" ht="15" customFormat="1" customHeight="1" s="492">
      <c r="A62" s="688" t="n">
        <v>6</v>
      </c>
      <c r="B62" s="689" t="inlineStr">
        <is>
          <t>Sistemas ERNC</t>
        </is>
      </c>
      <c r="C62" s="690">
        <f>SUM(C61:C63)</f>
        <v/>
      </c>
      <c r="D62" s="690">
        <f>SUM(D61:D63)</f>
        <v/>
      </c>
      <c r="E62" s="690">
        <f>SUM(E61:E63)</f>
        <v/>
      </c>
      <c r="F62" s="690">
        <f>SUM(F61:F63)</f>
        <v/>
      </c>
      <c r="G62" s="690">
        <f>SUM(G61:G63)</f>
        <v/>
      </c>
      <c r="H62" s="690">
        <f>SUM(H61:H63)</f>
        <v/>
      </c>
      <c r="I62" s="690">
        <f>SUM(I61:I63)</f>
        <v/>
      </c>
      <c r="J62" s="685">
        <f>SUM(C60:I60)</f>
        <v/>
      </c>
      <c r="K62" s="681" t="n"/>
      <c r="L62" s="691" t="n"/>
      <c r="M62" s="681" t="n"/>
      <c r="N62" s="681" t="n"/>
      <c r="O62" s="681" t="n"/>
    </row>
    <row r="63" outlineLevel="1" ht="15" customFormat="1" customHeight="1" s="492">
      <c r="A63" s="706" t="n"/>
      <c r="B63" s="707" t="inlineStr">
        <is>
          <t>Adquisición de materiales, equipos y componentes principales de los sistemas ERNC domiciliarios.</t>
        </is>
      </c>
      <c r="C63" s="684" t="n">
        <v>40000000</v>
      </c>
      <c r="D63" s="684" t="n">
        <v>0</v>
      </c>
      <c r="E63" s="684" t="n">
        <v>0</v>
      </c>
      <c r="F63" s="684" t="n">
        <v>66000000</v>
      </c>
      <c r="G63" s="684" t="n">
        <v>26500000</v>
      </c>
      <c r="H63" s="684" t="n">
        <v>0</v>
      </c>
      <c r="I63" s="684" t="n">
        <v>0</v>
      </c>
      <c r="J63" s="685">
        <f>SUM(C61:I61)</f>
        <v/>
      </c>
      <c r="K63" s="686" t="n"/>
      <c r="L63" s="687" t="n"/>
      <c r="M63" s="708">
        <f>+J61</f>
        <v/>
      </c>
      <c r="N63" s="686" t="n"/>
      <c r="O63" s="686" t="n"/>
    </row>
    <row r="64" ht="15" customFormat="1" customHeight="1" s="492">
      <c r="A64" s="706" t="n"/>
      <c r="B64" s="707" t="inlineStr">
        <is>
          <t>Gestión logística, almacenamiento, control de inventario y distribución de equipos hacia zonas de instalación.</t>
        </is>
      </c>
      <c r="C64" s="690" t="n">
        <v>4000000</v>
      </c>
      <c r="D64" s="690" t="n">
        <v>0</v>
      </c>
      <c r="E64" s="690" t="n">
        <v>0</v>
      </c>
      <c r="F64" s="690" t="n">
        <v>13000000</v>
      </c>
      <c r="G64" s="690" t="n">
        <v>3000000</v>
      </c>
      <c r="H64" s="690" t="n">
        <v>0</v>
      </c>
      <c r="I64" s="690" t="n">
        <v>0</v>
      </c>
      <c r="J64" s="685">
        <f>SUM(C62:I62)</f>
        <v/>
      </c>
      <c r="K64" s="681" t="n"/>
      <c r="L64" s="691" t="n"/>
      <c r="M64" s="708">
        <f>+J62</f>
        <v/>
      </c>
      <c r="N64" s="681" t="n"/>
      <c r="O64" s="681" t="n"/>
    </row>
    <row r="65" ht="15" customFormat="1" customHeight="1" s="492">
      <c r="A65" s="706" t="n"/>
      <c r="B65" s="707" t="inlineStr">
        <is>
          <t>Internación, recepción técnica y revisión de conformidad de equipos y materiales requeridos para la implementación.</t>
        </is>
      </c>
      <c r="C65" s="684" t="n"/>
      <c r="D65" s="684" t="n"/>
      <c r="E65" s="684" t="n"/>
      <c r="F65" s="684" t="n"/>
      <c r="G65" s="684" t="n">
        <v>1500000</v>
      </c>
      <c r="H65" s="684" t="n">
        <v>0</v>
      </c>
      <c r="I65" s="684" t="n">
        <v>0</v>
      </c>
      <c r="J65" s="685">
        <f>SUM(C63:I63)</f>
        <v/>
      </c>
      <c r="K65" s="686" t="n"/>
      <c r="L65" s="687" t="n"/>
      <c r="M65" s="708">
        <f>+J63</f>
        <v/>
      </c>
      <c r="N65" s="686" t="n"/>
      <c r="O65" s="686" t="n"/>
    </row>
    <row r="66" ht="15" customFormat="1" customHeight="1" s="492">
      <c r="A66" s="688" t="n">
        <v>7</v>
      </c>
      <c r="B66" s="689" t="inlineStr">
        <is>
          <t>instalacion</t>
        </is>
      </c>
      <c r="C66" s="690" t="n">
        <v>2500000</v>
      </c>
      <c r="D66" s="690" t="n">
        <v>2500000</v>
      </c>
      <c r="E66" s="690" t="n">
        <v>19000000</v>
      </c>
      <c r="F66" s="690" t="n">
        <v>26500000</v>
      </c>
      <c r="G66" s="690" t="n">
        <v>14000000</v>
      </c>
      <c r="H66" s="690" t="n">
        <v>3000000</v>
      </c>
      <c r="I66" s="690" t="n">
        <v>0</v>
      </c>
      <c r="J66" s="685">
        <f>SUM(C64:I64)</f>
        <v/>
      </c>
      <c r="K66" s="681" t="n"/>
      <c r="L66" s="691">
        <f>+J64</f>
        <v/>
      </c>
      <c r="M66" s="691" t="n"/>
      <c r="N66" s="681" t="n"/>
      <c r="O66" s="681" t="n"/>
    </row>
    <row r="67" ht="15" customFormat="1" customHeight="1" s="492">
      <c r="A67" s="682" t="n"/>
      <c r="B67" s="705" t="inlineStr">
        <is>
          <t>Logística y abastecimiento de herramientas y materiales en terreno para cada vivienda beneficiaria.</t>
        </is>
      </c>
      <c r="C67" s="684" t="n"/>
      <c r="D67" s="684" t="n"/>
      <c r="E67" s="684" t="n"/>
      <c r="F67" s="684" t="n"/>
      <c r="G67" s="684" t="n"/>
      <c r="H67" s="684" t="n"/>
      <c r="I67" s="684" t="n"/>
      <c r="J67" s="685">
        <f>SUM(C65:I65)</f>
        <v/>
      </c>
      <c r="K67" s="686" t="n"/>
      <c r="L67" s="687">
        <f>+J65</f>
        <v/>
      </c>
      <c r="M67" s="687" t="n"/>
      <c r="N67" s="686" t="n"/>
      <c r="O67" s="686" t="n"/>
    </row>
    <row r="68" ht="15" customFormat="1" customHeight="1" s="492">
      <c r="A68" s="688" t="n"/>
      <c r="B68" s="704" t="inlineStr">
        <is>
          <t>Coordinación e instalación de equipos ERNC domiciliarios, incluyendo montaje, conexiones y puesta en marcha operativa.</t>
        </is>
      </c>
      <c r="C68" s="690" t="n"/>
      <c r="D68" s="690" t="n"/>
      <c r="E68" s="690" t="n"/>
      <c r="F68" s="690" t="n"/>
      <c r="G68" s="690" t="n"/>
      <c r="H68" s="690" t="n"/>
      <c r="I68" s="690" t="n"/>
      <c r="J68" s="685">
        <f>SUM(C66:I66)</f>
        <v/>
      </c>
      <c r="K68" s="681" t="n"/>
      <c r="L68" s="691">
        <f>+J66</f>
        <v/>
      </c>
      <c r="M68" s="691" t="n"/>
      <c r="N68" s="681" t="n"/>
      <c r="O68" s="681" t="n"/>
    </row>
    <row r="69" ht="15" customHeight="1" s="549">
      <c r="A69" s="682" t="n"/>
      <c r="B69" s="705" t="inlineStr">
        <is>
          <t>Tramitación, elaboración y entrega de documentación TE1.</t>
        </is>
      </c>
      <c r="C69" s="684" t="inlineStr">
        <is>
          <t>    </t>
        </is>
      </c>
      <c r="D69" s="684" t="n"/>
      <c r="E69" s="684" t="n"/>
      <c r="F69" s="684" t="n"/>
      <c r="G69" s="684" t="n"/>
      <c r="H69" s="684">
        <f>150000*75</f>
        <v/>
      </c>
      <c r="I69" s="684" t="n"/>
      <c r="J69" s="685">
        <f>SUM(C67:I67)</f>
        <v/>
      </c>
      <c r="K69" s="686" t="n"/>
      <c r="L69" s="687" t="n"/>
      <c r="M69" s="687" t="n"/>
      <c r="N69" s="686" t="n"/>
      <c r="O69" s="686" t="n"/>
    </row>
    <row r="70" ht="15" customHeight="1" s="549">
      <c r="A70" s="688" t="n">
        <v>8</v>
      </c>
      <c r="B70" s="689" t="inlineStr">
        <is>
          <t>Formación y Asesoria a usuarios de electrodomésticos y uso.</t>
        </is>
      </c>
      <c r="C70" s="690" t="n">
        <v>0</v>
      </c>
      <c r="D70" s="690" t="n">
        <v>0</v>
      </c>
      <c r="E70" s="690" t="n">
        <v>0</v>
      </c>
      <c r="F70" s="690" t="n">
        <v>0</v>
      </c>
      <c r="G70" s="690" t="n">
        <v>10000000</v>
      </c>
      <c r="H70" s="690" t="n">
        <v>10000000</v>
      </c>
      <c r="I70" s="690" t="n">
        <v>0</v>
      </c>
      <c r="J70" s="685">
        <f>SUM(C68:I68)</f>
        <v/>
      </c>
      <c r="K70" s="681" t="n"/>
      <c r="L70" s="691">
        <f>+J68</f>
        <v/>
      </c>
      <c r="M70" s="691" t="n"/>
      <c r="N70" s="681" t="n"/>
      <c r="O70" s="681" t="n"/>
    </row>
    <row r="71" ht="15" customFormat="1" customHeight="1" s="492">
      <c r="A71" s="682" t="n"/>
      <c r="B71" s="705" t="inlineStr">
        <is>
          <t>Asesoría a usuarios sobre uso eficiente de electrodomésticos, priorización de consumos y prevención de sobrecargas.</t>
        </is>
      </c>
      <c r="C71" s="684" t="n"/>
      <c r="D71" s="684" t="n"/>
      <c r="E71" s="684" t="n"/>
      <c r="F71" s="684" t="n"/>
      <c r="G71" s="684" t="n"/>
      <c r="H71" s="684" t="n"/>
      <c r="I71" s="684" t="n"/>
      <c r="J71" s="685" t="n"/>
      <c r="K71" s="686" t="n"/>
      <c r="L71" s="687" t="n"/>
      <c r="M71" s="686" t="n"/>
      <c r="N71" s="686" t="n"/>
      <c r="O71" s="686" t="n"/>
    </row>
    <row r="72" ht="15" customHeight="1" s="549">
      <c r="A72" s="688" t="n"/>
      <c r="B72" s="704" t="inlineStr">
        <is>
          <t>Acompañamiento inicial post-instalación para resolver dudas de uso, operación segura y buenas prácticas de consumo.</t>
        </is>
      </c>
      <c r="C72" s="690" t="n"/>
      <c r="D72" s="690" t="n"/>
      <c r="E72" s="690" t="n"/>
      <c r="F72" s="690" t="n"/>
      <c r="G72" s="690" t="n"/>
      <c r="H72" s="690" t="n"/>
      <c r="I72" s="690" t="n"/>
      <c r="J72" s="685" t="n"/>
      <c r="K72" s="681" t="n"/>
      <c r="L72" s="691" t="n"/>
      <c r="M72" s="681" t="n"/>
      <c r="N72" s="681" t="n"/>
      <c r="O72" s="681" t="n"/>
    </row>
    <row r="73" ht="15" customHeight="1" s="549">
      <c r="A73" s="682" t="n">
        <v>9</v>
      </c>
      <c r="B73" s="683" t="inlineStr">
        <is>
          <t>Cierre de proyecto - informes de instalación</t>
        </is>
      </c>
      <c r="C73" s="684" t="n">
        <v>0</v>
      </c>
      <c r="D73" s="684" t="n">
        <v>0</v>
      </c>
      <c r="E73" s="684" t="n">
        <v>0</v>
      </c>
      <c r="F73" s="684" t="n">
        <v>0</v>
      </c>
      <c r="G73" s="684" t="n">
        <v>0</v>
      </c>
      <c r="H73" s="684" t="n">
        <v>0</v>
      </c>
      <c r="I73" s="684" t="n">
        <v>11000000</v>
      </c>
      <c r="J73" s="685">
        <f>SUM(C71:I71)</f>
        <v/>
      </c>
      <c r="K73" s="686" t="n"/>
      <c r="L73" s="687">
        <f>+J71</f>
        <v/>
      </c>
      <c r="M73" s="687" t="n"/>
      <c r="N73" s="686" t="n"/>
      <c r="O73" s="686" t="n"/>
    </row>
    <row r="74" ht="15" customHeight="1" s="549">
      <c r="A74" s="688" t="n"/>
      <c r="B74" s="704" t="inlineStr">
        <is>
          <t>Revisión y recopilación de actas de instalación, registros fotográficos, fichas técnicas y respaldos por vivienda.</t>
        </is>
      </c>
      <c r="C74" s="690" t="n"/>
      <c r="D74" s="690" t="n"/>
      <c r="E74" s="690" t="n"/>
      <c r="F74" s="690" t="n"/>
      <c r="G74" s="690" t="n"/>
      <c r="H74" s="690" t="n"/>
      <c r="I74" s="690" t="n"/>
      <c r="J74" s="685" t="n"/>
      <c r="K74" s="688" t="n"/>
      <c r="L74" s="689" t="n"/>
      <c r="M74" s="681" t="n"/>
      <c r="N74" s="681" t="n"/>
      <c r="O74" s="681" t="n"/>
    </row>
    <row r="75" ht="15" customFormat="1" customHeight="1" s="492">
      <c r="A75" s="682" t="n"/>
      <c r="B75" s="705" t="inlineStr">
        <is>
          <t>Elaboración de informes técnicos de instalación y puesta en marcha por sistema o grupo de beneficiarios.</t>
        </is>
      </c>
      <c r="C75" s="684" t="n"/>
      <c r="D75" s="684" t="n"/>
      <c r="E75" s="684" t="n"/>
      <c r="F75" s="684" t="n"/>
      <c r="G75" s="684" t="n"/>
      <c r="H75" s="684" t="n"/>
      <c r="I75" s="684" t="n"/>
      <c r="J75" s="685" t="n"/>
      <c r="K75" s="682" t="n"/>
      <c r="L75" s="683" t="n"/>
      <c r="M75" s="686" t="n"/>
      <c r="N75" s="686" t="n"/>
      <c r="O75" s="686" t="n"/>
    </row>
    <row r="76" ht="15" customFormat="1" customHeight="1" s="492">
      <c r="A76" s="688" t="n"/>
      <c r="B76" s="704" t="inlineStr">
        <is>
          <t>Preparación del informe final de cierre del proyecto, consolidando resultados, cumplimiento de metas y medios de verificación.</t>
        </is>
      </c>
      <c r="C76" s="690" t="n"/>
      <c r="D76" s="690" t="n"/>
      <c r="E76" s="690" t="n"/>
      <c r="F76" s="690" t="n"/>
      <c r="G76" s="690" t="n"/>
      <c r="H76" s="690" t="n"/>
      <c r="I76" s="690" t="n"/>
      <c r="J76" s="685" t="n"/>
      <c r="K76" s="688" t="n"/>
      <c r="L76" s="689" t="n"/>
      <c r="M76" s="681" t="n"/>
      <c r="N76" s="681" t="n"/>
      <c r="O76" s="681" t="n"/>
    </row>
    <row r="77" ht="15" customHeight="1" s="549">
      <c r="A77" s="686" t="n"/>
      <c r="B77" s="695" t="inlineStr">
        <is>
          <t>TOTAL PROYECTO</t>
        </is>
      </c>
      <c r="C77" s="696" t="n">
        <v>52707372.75</v>
      </c>
      <c r="D77" s="696" t="n">
        <v>12615500</v>
      </c>
      <c r="E77" s="696" t="n">
        <v>36727100</v>
      </c>
      <c r="F77" s="696" t="n">
        <v>131821291.25</v>
      </c>
      <c r="G77" s="696" t="n">
        <v>52562306.5</v>
      </c>
      <c r="H77" s="696" t="n">
        <v>13165800</v>
      </c>
      <c r="I77" s="696" t="n">
        <v>19983460.99950297</v>
      </c>
      <c r="J77" s="696">
        <f>+J41+J45+J49+J53+J57+J60+J64+J68+J71</f>
        <v/>
      </c>
      <c r="K77" s="687" t="n">
        <v>0</v>
      </c>
      <c r="L77" s="687">
        <f>SUM(L41:L71)</f>
        <v/>
      </c>
      <c r="M77" s="687">
        <f>SUM(M41:M71)</f>
        <v/>
      </c>
      <c r="N77" s="686" t="n"/>
      <c r="O77" s="686" t="n"/>
    </row>
    <row r="78" ht="15" customHeight="1" s="549">
      <c r="A78" s="681" t="n"/>
      <c r="B78" s="697" t="n"/>
      <c r="C78" s="681" t="n"/>
      <c r="D78" s="681" t="n"/>
      <c r="E78" s="681" t="n"/>
      <c r="F78" s="681" t="n"/>
      <c r="G78" s="681" t="n"/>
      <c r="H78" s="681" t="n"/>
      <c r="I78" s="681" t="n"/>
      <c r="J78" s="681" t="n"/>
      <c r="K78" s="681" t="n"/>
      <c r="L78" s="698">
        <f>L75/J75</f>
        <v/>
      </c>
      <c r="M78" s="698">
        <f>M75/J75</f>
        <v/>
      </c>
      <c r="N78" s="681" t="n"/>
      <c r="O78" s="681" t="n"/>
    </row>
    <row r="79"/>
    <row r="80"/>
    <row r="81" ht="15" customHeight="1" s="549">
      <c r="A81" s="700" t="n"/>
      <c r="B81" s="701" t="inlineStr">
        <is>
          <t>Ítem / Descripción</t>
        </is>
      </c>
      <c r="C81" s="700" t="inlineStr">
        <is>
          <t>Ago 2026</t>
        </is>
      </c>
      <c r="D81" s="700" t="inlineStr">
        <is>
          <t>Sep 2026</t>
        </is>
      </c>
      <c r="E81" s="700" t="inlineStr">
        <is>
          <t>Oct 2026</t>
        </is>
      </c>
      <c r="F81" s="700" t="inlineStr">
        <is>
          <t>Nov 2026</t>
        </is>
      </c>
      <c r="G81" s="700" t="inlineStr">
        <is>
          <t>Dic 2026</t>
        </is>
      </c>
      <c r="H81" s="702" t="inlineStr">
        <is>
          <t>Ene 2027</t>
        </is>
      </c>
      <c r="I81" s="702" t="inlineStr">
        <is>
          <t>Feb 2027</t>
        </is>
      </c>
      <c r="J81" s="703" t="inlineStr">
        <is>
          <t>TOTAL</t>
        </is>
      </c>
      <c r="K81" s="686" t="n"/>
      <c r="L81" s="686" t="inlineStr">
        <is>
          <t>GORE</t>
        </is>
      </c>
      <c r="M81" s="686" t="inlineStr">
        <is>
          <t>FUNDACIÓN</t>
        </is>
      </c>
      <c r="N81" s="686" t="n"/>
      <c r="O81" s="686" t="n"/>
    </row>
    <row r="82" ht="15" customHeight="1" s="549">
      <c r="A82" s="688" t="n">
        <v>1</v>
      </c>
      <c r="B82" s="689" t="inlineStr">
        <is>
          <t xml:space="preserve"> Diagnóstico general y catastro básico de hogares en La Higuera</t>
        </is>
      </c>
      <c r="C82" s="690">
        <f>+C41</f>
        <v/>
      </c>
      <c r="D82" s="690">
        <f>+D41</f>
        <v/>
      </c>
      <c r="E82" s="690">
        <f>+E41</f>
        <v/>
      </c>
      <c r="F82" s="690">
        <f>+F41</f>
        <v/>
      </c>
      <c r="G82" s="690">
        <f>+G41</f>
        <v/>
      </c>
      <c r="H82" s="690">
        <f>+H41</f>
        <v/>
      </c>
      <c r="I82" s="690">
        <f>+I41</f>
        <v/>
      </c>
      <c r="J82" s="685">
        <f>SUM(C80:I80)</f>
        <v/>
      </c>
      <c r="K82" s="681" t="n"/>
      <c r="L82" s="691">
        <f>+J80</f>
        <v/>
      </c>
      <c r="M82" s="691" t="n"/>
      <c r="N82" s="681" t="n"/>
      <c r="O82" s="681" t="n"/>
    </row>
    <row r="83" ht="15" customHeight="1" s="549">
      <c r="A83" s="682" t="n">
        <v>2</v>
      </c>
      <c r="B83" s="683" t="inlineStr">
        <is>
          <t>Catastro georeferenciado uno a uno de viviendas</t>
        </is>
      </c>
      <c r="C83" s="684">
        <f>+C45</f>
        <v/>
      </c>
      <c r="D83" s="684">
        <f>+D45</f>
        <v/>
      </c>
      <c r="E83" s="684">
        <f>+E45</f>
        <v/>
      </c>
      <c r="F83" s="684">
        <f>+F45</f>
        <v/>
      </c>
      <c r="G83" s="684">
        <f>+G45</f>
        <v/>
      </c>
      <c r="H83" s="684">
        <f>+H45</f>
        <v/>
      </c>
      <c r="I83" s="684">
        <f>+I45</f>
        <v/>
      </c>
      <c r="J83" s="685">
        <f>SUM(C81:I81)</f>
        <v/>
      </c>
      <c r="K83" s="686" t="n"/>
      <c r="L83" s="687">
        <f>+J81</f>
        <v/>
      </c>
      <c r="M83" s="687" t="n"/>
      <c r="N83" s="686" t="n"/>
      <c r="O83" s="686" t="n"/>
    </row>
    <row r="84" ht="15" customHeight="1" s="549">
      <c r="A84" s="688" t="n">
        <v>3</v>
      </c>
      <c r="B84" s="689" t="inlineStr">
        <is>
          <t>Verificación y sensibilización de usuarios catastrados. Incorporación de beneficiarios a programa de energía.</t>
        </is>
      </c>
      <c r="C84" s="690">
        <f>+C49</f>
        <v/>
      </c>
      <c r="D84" s="690">
        <f>+D49</f>
        <v/>
      </c>
      <c r="E84" s="690">
        <f>+E49</f>
        <v/>
      </c>
      <c r="F84" s="690">
        <f>+F49</f>
        <v/>
      </c>
      <c r="G84" s="690">
        <f>+G49</f>
        <v/>
      </c>
      <c r="H84" s="690">
        <f>+H49</f>
        <v/>
      </c>
      <c r="I84" s="690">
        <f>+I49</f>
        <v/>
      </c>
      <c r="J84" s="685">
        <f>SUM(C82:I82)</f>
        <v/>
      </c>
      <c r="K84" s="681" t="n"/>
      <c r="L84" s="691">
        <f>+J82</f>
        <v/>
      </c>
      <c r="M84" s="691" t="n"/>
      <c r="N84" s="681" t="n"/>
      <c r="O84" s="681" t="n"/>
    </row>
    <row r="85" ht="15" customHeight="1" s="549">
      <c r="A85" s="682" t="n">
        <v>4</v>
      </c>
      <c r="B85" s="683" t="inlineStr">
        <is>
          <t xml:space="preserve">Capacitación de sistemas ERNC usuarios beneficiario. </t>
        </is>
      </c>
      <c r="C85" s="684">
        <f>+C53</f>
        <v/>
      </c>
      <c r="D85" s="684">
        <f>+D53</f>
        <v/>
      </c>
      <c r="E85" s="684">
        <f>+E53</f>
        <v/>
      </c>
      <c r="F85" s="684">
        <f>+F53</f>
        <v/>
      </c>
      <c r="G85" s="684">
        <f>+G53</f>
        <v/>
      </c>
      <c r="H85" s="684">
        <f>+H53</f>
        <v/>
      </c>
      <c r="I85" s="684">
        <f>+I53</f>
        <v/>
      </c>
      <c r="J85" s="685">
        <f>SUM(C83:I83)</f>
        <v/>
      </c>
      <c r="K85" s="686" t="n"/>
      <c r="L85" s="687">
        <f>+J83</f>
        <v/>
      </c>
      <c r="M85" s="687" t="n"/>
      <c r="N85" s="686" t="n"/>
      <c r="O85" s="686" t="n"/>
    </row>
    <row r="86" ht="15" customHeight="1" s="549">
      <c r="A86" s="688" t="n">
        <v>5</v>
      </c>
      <c r="B86" s="689" t="inlineStr">
        <is>
          <t>Implementacion del un modelo de mantenimiento a 10 años</t>
        </is>
      </c>
      <c r="C86" s="690">
        <f>+C57</f>
        <v/>
      </c>
      <c r="D86" s="690">
        <f>+D57</f>
        <v/>
      </c>
      <c r="E86" s="690">
        <f>+E57</f>
        <v/>
      </c>
      <c r="F86" s="690">
        <f>+F57</f>
        <v/>
      </c>
      <c r="G86" s="690">
        <f>+G57</f>
        <v/>
      </c>
      <c r="H86" s="690">
        <f>+H57</f>
        <v/>
      </c>
      <c r="I86" s="690">
        <f>+I57</f>
        <v/>
      </c>
      <c r="J86" s="685">
        <f>SUM(C84:I84)</f>
        <v/>
      </c>
      <c r="K86" s="681" t="n"/>
      <c r="L86" s="691" t="n"/>
      <c r="M86" s="691" t="n"/>
      <c r="N86" s="681" t="n"/>
      <c r="O86" s="681" t="n"/>
    </row>
    <row r="87" ht="15" customHeight="1" s="549">
      <c r="A87" s="706" t="n">
        <v>6</v>
      </c>
      <c r="B87" s="709" t="inlineStr">
        <is>
          <t>Sistemas ERNC</t>
        </is>
      </c>
      <c r="C87" s="684">
        <f>+C60</f>
        <v/>
      </c>
      <c r="D87" s="684">
        <f>+D60</f>
        <v/>
      </c>
      <c r="E87" s="684">
        <f>+E60</f>
        <v/>
      </c>
      <c r="F87" s="684">
        <f>+F60</f>
        <v/>
      </c>
      <c r="G87" s="684">
        <f>+G60</f>
        <v/>
      </c>
      <c r="H87" s="684">
        <f>+H60</f>
        <v/>
      </c>
      <c r="I87" s="684">
        <f>+I60</f>
        <v/>
      </c>
      <c r="J87" s="685">
        <f>SUM(C85:I85)</f>
        <v/>
      </c>
      <c r="K87" s="686" t="n"/>
      <c r="L87" s="687" t="n"/>
      <c r="M87" s="686" t="n"/>
      <c r="N87" s="686" t="n"/>
      <c r="O87" s="686" t="n"/>
    </row>
    <row r="88" ht="15" customHeight="1" s="549">
      <c r="A88" s="688" t="n">
        <v>7</v>
      </c>
      <c r="B88" s="689" t="inlineStr">
        <is>
          <t>instalacion</t>
        </is>
      </c>
      <c r="C88" s="690" t="n">
        <v>2500000</v>
      </c>
      <c r="D88" s="690" t="n">
        <v>2500000</v>
      </c>
      <c r="E88" s="690" t="n">
        <v>19000000</v>
      </c>
      <c r="F88" s="690" t="n">
        <v>26500000</v>
      </c>
      <c r="G88" s="690" t="n">
        <v>14000000</v>
      </c>
      <c r="H88" s="690" t="n">
        <v>3000000</v>
      </c>
      <c r="I88" s="690" t="n">
        <v>0</v>
      </c>
      <c r="J88" s="685">
        <f>SUM(C86:I86)</f>
        <v/>
      </c>
      <c r="K88" s="681" t="n"/>
      <c r="L88" s="691">
        <f>+J86</f>
        <v/>
      </c>
      <c r="M88" s="691" t="n"/>
      <c r="N88" s="681" t="n"/>
      <c r="O88" s="681" t="n"/>
    </row>
    <row r="89" ht="15" customHeight="1" s="549">
      <c r="A89" s="682" t="n">
        <v>8</v>
      </c>
      <c r="B89" s="683" t="inlineStr">
        <is>
          <t>Formación y Asesoria a usuarios de electrodomésticos y uso.</t>
        </is>
      </c>
      <c r="C89" s="684" t="n">
        <v>0</v>
      </c>
      <c r="D89" s="684" t="n">
        <v>0</v>
      </c>
      <c r="E89" s="684" t="n">
        <v>0</v>
      </c>
      <c r="F89" s="684" t="n">
        <v>0</v>
      </c>
      <c r="G89" s="684" t="n">
        <v>10000000</v>
      </c>
      <c r="H89" s="684" t="n">
        <v>10000000</v>
      </c>
      <c r="I89" s="684" t="n">
        <v>0</v>
      </c>
      <c r="J89" s="685">
        <f>SUM(C87:I87)</f>
        <v/>
      </c>
      <c r="K89" s="686" t="n"/>
      <c r="L89" s="687">
        <f>+J87</f>
        <v/>
      </c>
      <c r="M89" s="687" t="n"/>
      <c r="N89" s="686" t="n"/>
      <c r="O89" s="686" t="n"/>
    </row>
    <row r="90" ht="15" customHeight="1" s="549">
      <c r="A90" s="688" t="n">
        <v>9</v>
      </c>
      <c r="B90" s="689" t="inlineStr">
        <is>
          <t>Cierre de proyecto - informes de instalación</t>
        </is>
      </c>
      <c r="C90" s="690" t="n">
        <v>0</v>
      </c>
      <c r="D90" s="690" t="n">
        <v>0</v>
      </c>
      <c r="E90" s="690" t="n">
        <v>0</v>
      </c>
      <c r="F90" s="690" t="n">
        <v>0</v>
      </c>
      <c r="G90" s="690" t="n">
        <v>0</v>
      </c>
      <c r="H90" s="690" t="n">
        <v>0</v>
      </c>
      <c r="I90" s="690" t="n">
        <v>11000000</v>
      </c>
      <c r="J90" s="685">
        <f>SUM(C88:I88)</f>
        <v/>
      </c>
      <c r="K90" s="681" t="n"/>
      <c r="L90" s="691">
        <f>+J88</f>
        <v/>
      </c>
      <c r="M90" s="691" t="n"/>
      <c r="N90" s="681" t="n"/>
      <c r="O90" s="681" t="n"/>
    </row>
    <row r="91" ht="15" customHeight="1" s="549">
      <c r="A91" s="686" t="n"/>
      <c r="B91" s="695" t="inlineStr">
        <is>
          <t>TOTAL PROYECTO</t>
        </is>
      </c>
      <c r="C91" s="696" t="n">
        <v>52707372.75</v>
      </c>
      <c r="D91" s="696" t="n">
        <v>12615500</v>
      </c>
      <c r="E91" s="696" t="n">
        <v>36727100</v>
      </c>
      <c r="F91" s="696" t="n">
        <v>131821291.25</v>
      </c>
      <c r="G91" s="696" t="n">
        <v>52562306.5</v>
      </c>
      <c r="H91" s="696" t="n">
        <v>13165800</v>
      </c>
      <c r="I91" s="696" t="n">
        <v>19983460.99950297</v>
      </c>
      <c r="J91" s="696">
        <f>+J80+J81+J82+J83+J84+J85+J86+J87+J88</f>
        <v/>
      </c>
      <c r="K91" s="687" t="n">
        <v>0</v>
      </c>
      <c r="L91" s="687">
        <f>SUM(L80:L88)</f>
        <v/>
      </c>
      <c r="M91" s="687">
        <f>SUM(M80:M88)</f>
        <v/>
      </c>
      <c r="N91" s="686" t="n"/>
      <c r="O91" s="686" t="n"/>
    </row>
    <row r="92" ht="15" customHeight="1" s="549">
      <c r="A92" s="681" t="n"/>
      <c r="B92" s="681" t="n"/>
      <c r="C92" s="681" t="n"/>
      <c r="D92" s="681" t="n"/>
      <c r="E92" s="681" t="n"/>
      <c r="F92" s="681" t="n"/>
      <c r="G92" s="681" t="n"/>
      <c r="H92" s="681" t="n"/>
      <c r="I92" s="681" t="n"/>
      <c r="J92" s="681" t="n"/>
      <c r="K92" s="681" t="n"/>
      <c r="L92" s="698">
        <f>L89/J89</f>
        <v/>
      </c>
      <c r="M92" s="698">
        <f>M89/J89</f>
        <v/>
      </c>
      <c r="N92" s="681" t="n"/>
      <c r="O92" s="681" t="n"/>
    </row>
  </sheetData>
  <mergeCells count="2">
    <mergeCell ref="A1:O1"/>
    <mergeCell ref="A2:O2"/>
  </mergeCells>
  <pageMargins left="0.7" right="0.7" top="0.75" bottom="0.75" header="0.3" footer="0.3"/>
</worksheet>
</file>

<file path=xl/worksheets/sheet2.xml><?xml version="1.0" encoding="utf-8"?>
<worksheet xmlns="http://schemas.openxmlformats.org/spreadsheetml/2006/main">
  <sheetPr>
    <tabColor rgb="00375623"/>
    <outlinePr summaryBelow="1" summaryRight="1"/>
    <pageSetUpPr/>
  </sheetPr>
  <dimension ref="A1:M237"/>
  <sheetViews>
    <sheetView showGridLines="0" tabSelected="1" workbookViewId="0">
      <pane xSplit="2" ySplit="3" topLeftCell="C4" activePane="bottomRight" state="frozen"/>
      <selection pane="topRight" activeCell="A1" sqref="A1"/>
      <selection pane="bottomLeft" activeCell="A1" sqref="A1"/>
      <selection pane="bottomRight" activeCell="H77" sqref="H77"/>
    </sheetView>
  </sheetViews>
  <sheetFormatPr baseColWidth="10" defaultColWidth="9.140625" defaultRowHeight="15" outlineLevelRow="1"/>
  <cols>
    <col width="52" customWidth="1" style="549" min="1" max="1"/>
    <col width="52" bestFit="1" customWidth="1" style="555" min="2" max="2"/>
    <col outlineLevel="1" width="52" customWidth="1" style="549" min="3" max="6"/>
    <col width="52" customWidth="1" style="549" min="4" max="4"/>
    <col width="52" customWidth="1" style="549" min="5" max="5"/>
    <col width="21" customWidth="1" style="549" min="6" max="6"/>
    <col outlineLevel="1" width="52" bestFit="1" customWidth="1" style="549" min="7" max="8"/>
    <col width="21" customWidth="1" style="549" min="8" max="8"/>
    <col outlineLevel="1" width="52" customWidth="1" style="549" min="9" max="9"/>
    <col width="52" bestFit="1" customWidth="1" style="549" min="10" max="10"/>
    <col width="10" bestFit="1" customWidth="1" style="549" min="11" max="11"/>
    <col width="41" bestFit="1" customWidth="1" style="549" min="12" max="12"/>
    <col width="18" bestFit="1" customWidth="1" style="549" min="13" max="13"/>
  </cols>
  <sheetData>
    <row r="1" ht="22" customHeight="1" s="549">
      <c r="A1" s="710" t="inlineStr">
        <is>
          <t>VALORIZACIÓN POR COMPONENTE — LUZ EN CASA · GORE COQUIMBO  |  Valores BRUTO con IVA</t>
        </is>
      </c>
    </row>
    <row r="2">
      <c r="A2" s="536" t="n"/>
      <c r="J2" s="711">
        <f>+J202</f>
        <v/>
      </c>
    </row>
    <row r="3" ht="28" customHeight="1" s="549">
      <c r="A3" s="677" t="n"/>
      <c r="B3" s="677" t="inlineStr">
        <is>
          <t>Ítem / Descripción</t>
        </is>
      </c>
      <c r="C3" s="677" t="inlineStr">
        <is>
          <t>Ago 2026</t>
        </is>
      </c>
      <c r="D3" s="677" t="inlineStr">
        <is>
          <t>Sep 2026</t>
        </is>
      </c>
      <c r="E3" s="677" t="inlineStr">
        <is>
          <t>Oct 2026</t>
        </is>
      </c>
      <c r="F3" s="677" t="inlineStr">
        <is>
          <t>Nov 2026</t>
        </is>
      </c>
      <c r="G3" s="677" t="inlineStr">
        <is>
          <t>Dic 2026</t>
        </is>
      </c>
      <c r="H3" s="677" t="inlineStr">
        <is>
          <t>Ene 2027</t>
        </is>
      </c>
      <c r="I3" s="677" t="inlineStr">
        <is>
          <t>Feb 2027</t>
        </is>
      </c>
      <c r="J3" s="677" t="inlineStr">
        <is>
          <t>TOTAL</t>
        </is>
      </c>
      <c r="K3" s="677" t="n"/>
      <c r="L3" s="677" t="n"/>
      <c r="M3" s="677" t="n"/>
    </row>
    <row r="4" ht="14" customFormat="1" customHeight="1" s="349">
      <c r="A4" s="712" t="n">
        <v>1</v>
      </c>
      <c r="B4" s="689" t="inlineStr">
        <is>
          <t xml:space="preserve"> Diagnóstico general y catastro básico de hogares en La Higuera</t>
        </is>
      </c>
      <c r="C4" s="690">
        <f>SUM(C5:C21)</f>
        <v/>
      </c>
      <c r="D4" s="690">
        <f>SUM(D5:D21)</f>
        <v/>
      </c>
      <c r="E4" s="690">
        <f>SUM(E5:E21)</f>
        <v/>
      </c>
      <c r="F4" s="690">
        <f>SUM(F5:F21)</f>
        <v/>
      </c>
      <c r="G4" s="690">
        <f>SUM(G5:G21)</f>
        <v/>
      </c>
      <c r="H4" s="690">
        <f>SUM(H5:H21)</f>
        <v/>
      </c>
      <c r="I4" s="690">
        <f>SUM(I5:I21)</f>
        <v/>
      </c>
      <c r="J4" s="690">
        <f>SUM(C4:I4)</f>
        <v/>
      </c>
      <c r="K4" s="713" t="inlineStr">
        <is>
          <t>RRCC</t>
        </is>
      </c>
      <c r="L4" s="713" t="inlineStr">
        <is>
          <t>1+2+3</t>
        </is>
      </c>
      <c r="M4" s="713" t="n"/>
    </row>
    <row r="5" hidden="1" outlineLevel="1" ht="14" customHeight="1" s="549">
      <c r="A5" s="714" t="n"/>
      <c r="B5" s="715" t="inlineStr">
        <is>
          <t>Planilla Actual</t>
        </is>
      </c>
      <c r="C5" s="716">
        <f>+'Flujo Bruto'!O21</f>
        <v/>
      </c>
      <c r="D5" s="716" t="n"/>
      <c r="E5" s="716" t="n"/>
      <c r="F5" s="716" t="n"/>
      <c r="G5" s="716" t="n"/>
      <c r="H5" s="716" t="n"/>
      <c r="I5" s="716" t="n"/>
      <c r="J5" s="685" t="n"/>
      <c r="K5" s="717" t="n"/>
      <c r="L5" s="717" t="n"/>
      <c r="M5" s="717" t="n"/>
    </row>
    <row r="6" hidden="1" outlineLevel="1" ht="14" customHeight="1" s="549">
      <c r="A6" s="712" t="n"/>
      <c r="B6" s="704" t="inlineStr">
        <is>
          <t>Descarga estructura</t>
        </is>
      </c>
      <c r="C6" s="690">
        <f>+'Flujo Bruto'!O22</f>
        <v/>
      </c>
      <c r="D6" s="690" t="n"/>
      <c r="E6" s="690" t="n"/>
      <c r="F6" s="690" t="n"/>
      <c r="G6" s="690" t="n"/>
      <c r="H6" s="690" t="n"/>
      <c r="I6" s="690" t="n"/>
      <c r="J6" s="690" t="n"/>
      <c r="K6" s="713" t="n"/>
      <c r="L6" s="713" t="n"/>
      <c r="M6" s="713" t="n"/>
    </row>
    <row r="7" hidden="1" outlineLevel="1" ht="14" customHeight="1" s="549">
      <c r="A7" s="714" t="n"/>
      <c r="B7" s="715" t="inlineStr">
        <is>
          <t>Encargado territorial RRHH</t>
        </is>
      </c>
      <c r="C7" s="716">
        <f>+'Flujo Bruto'!O29</f>
        <v/>
      </c>
      <c r="D7" s="716" t="n"/>
      <c r="E7" s="716" t="n"/>
      <c r="F7" s="716" t="n"/>
      <c r="G7" s="716" t="n"/>
      <c r="H7" s="716" t="n"/>
      <c r="I7" s="716" t="n"/>
      <c r="J7" s="685" t="n"/>
      <c r="K7" s="717" t="n"/>
      <c r="L7" s="717" t="n"/>
      <c r="M7" s="717" t="n"/>
    </row>
    <row r="8" hidden="1" outlineLevel="1" ht="14" customHeight="1" s="549">
      <c r="A8" s="712" t="n"/>
      <c r="B8" s="704" t="inlineStr">
        <is>
          <t>Arriendo vehículo diario - RRCC</t>
        </is>
      </c>
      <c r="C8" s="690">
        <f>+'Flujo Bruto'!O34</f>
        <v/>
      </c>
      <c r="D8" s="690" t="n"/>
      <c r="E8" s="690" t="n"/>
      <c r="F8" s="690" t="n"/>
      <c r="G8" s="690" t="n"/>
      <c r="H8" s="690" t="n"/>
      <c r="I8" s="690" t="n"/>
      <c r="J8" s="690" t="n"/>
      <c r="K8" s="713" t="n"/>
      <c r="L8" s="713" t="n"/>
      <c r="M8" s="713" t="n"/>
    </row>
    <row r="9" hidden="1" outlineLevel="1" ht="14" customHeight="1" s="549">
      <c r="A9" s="714" t="n"/>
      <c r="B9" s="715" t="inlineStr">
        <is>
          <t>Vehiculo RRCC</t>
        </is>
      </c>
      <c r="C9" s="716">
        <f>+'Flujo Bruto'!O30</f>
        <v/>
      </c>
      <c r="D9" s="716" t="n"/>
      <c r="E9" s="716" t="n"/>
      <c r="F9" s="716" t="n"/>
      <c r="G9" s="716" t="n"/>
      <c r="H9" s="716" t="n"/>
      <c r="I9" s="716" t="n"/>
      <c r="J9" s="685" t="n"/>
      <c r="K9" s="717" t="n"/>
      <c r="L9" s="717" t="n"/>
      <c r="M9" s="717" t="n"/>
    </row>
    <row r="10" hidden="1" outlineLevel="1" ht="14" customHeight="1" s="549">
      <c r="A10" s="712" t="n"/>
      <c r="B10" s="704" t="inlineStr">
        <is>
          <t>Traslados de personal</t>
        </is>
      </c>
      <c r="C10" s="690">
        <f>+'Flujo Bruto'!O50</f>
        <v/>
      </c>
      <c r="D10" s="690" t="n"/>
      <c r="E10" s="690" t="n"/>
      <c r="F10" s="690" t="n"/>
      <c r="G10" s="690" t="n"/>
      <c r="H10" s="690" t="n"/>
      <c r="I10" s="690" t="n"/>
      <c r="J10" s="690" t="n"/>
      <c r="K10" s="713" t="n"/>
      <c r="L10" s="713" t="n"/>
      <c r="M10" s="713" t="n"/>
    </row>
    <row r="11" hidden="1" outlineLevel="1" ht="14" customHeight="1" s="549">
      <c r="A11" s="714" t="n"/>
      <c r="B11" s="715" t="inlineStr">
        <is>
          <t>Alojamiento</t>
        </is>
      </c>
      <c r="C11" s="716">
        <f>+'Flujo Bruto'!O51</f>
        <v/>
      </c>
      <c r="D11" s="716" t="n"/>
      <c r="E11" s="716" t="n"/>
      <c r="F11" s="716" t="n"/>
      <c r="G11" s="716" t="n"/>
      <c r="H11" s="716" t="n"/>
      <c r="I11" s="716" t="n"/>
      <c r="J11" s="685" t="n"/>
      <c r="K11" s="717" t="n"/>
      <c r="L11" s="717" t="n"/>
      <c r="M11" s="717" t="n"/>
    </row>
    <row r="12" hidden="1" outlineLevel="1" ht="14" customHeight="1" s="549">
      <c r="A12" s="712" t="n"/>
      <c r="B12" s="704" t="inlineStr">
        <is>
          <t>Alimentación</t>
        </is>
      </c>
      <c r="C12" s="690">
        <f>+'Flujo Bruto'!O52</f>
        <v/>
      </c>
      <c r="D12" s="690" t="n"/>
      <c r="E12" s="690" t="n"/>
      <c r="F12" s="690" t="n"/>
      <c r="G12" s="690" t="n"/>
      <c r="H12" s="690" t="n"/>
      <c r="I12" s="690" t="n"/>
      <c r="J12" s="690" t="n"/>
      <c r="K12" s="713" t="n"/>
      <c r="L12" s="713" t="n"/>
      <c r="M12" s="713" t="n"/>
    </row>
    <row r="13" hidden="1" outlineLevel="1" ht="14" customHeight="1" s="549">
      <c r="A13" s="714" t="n"/>
      <c r="B13" s="715" t="inlineStr">
        <is>
          <t>Combustible arriendo diario</t>
        </is>
      </c>
      <c r="C13" s="716">
        <f>+'Flujo Bruto'!O53</f>
        <v/>
      </c>
      <c r="D13" s="716" t="n"/>
      <c r="E13" s="716" t="n"/>
      <c r="F13" s="716" t="n"/>
      <c r="G13" s="716" t="n"/>
      <c r="H13" s="716" t="n"/>
      <c r="I13" s="716" t="n"/>
      <c r="J13" s="685" t="n"/>
      <c r="K13" s="717" t="n"/>
      <c r="L13" s="717" t="n"/>
      <c r="M13" s="717" t="n"/>
    </row>
    <row r="14" hidden="1" outlineLevel="1" ht="14" customHeight="1" s="549">
      <c r="A14" s="712" t="n"/>
      <c r="B14" s="704" t="inlineStr">
        <is>
          <t>Combustible arriendo mensual</t>
        </is>
      </c>
      <c r="C14" s="690">
        <f>+'Flujo Bruto'!O54</f>
        <v/>
      </c>
      <c r="D14" s="690" t="n"/>
      <c r="E14" s="690" t="n"/>
      <c r="F14" s="690" t="n"/>
      <c r="G14" s="690" t="n"/>
      <c r="H14" s="690" t="n"/>
      <c r="I14" s="690" t="n"/>
      <c r="J14" s="690" t="n"/>
      <c r="K14" s="713" t="n"/>
      <c r="L14" s="713" t="n"/>
      <c r="M14" s="713" t="n"/>
    </row>
    <row r="15" hidden="1" outlineLevel="1" ht="14" customHeight="1" s="549">
      <c r="A15" s="714" t="n"/>
      <c r="B15" s="715" t="inlineStr">
        <is>
          <t>Peajes</t>
        </is>
      </c>
      <c r="C15" s="716">
        <f>+'Flujo Bruto'!O55</f>
        <v/>
      </c>
      <c r="D15" s="716" t="n"/>
      <c r="E15" s="716" t="n"/>
      <c r="F15" s="716" t="n"/>
      <c r="G15" s="716" t="n"/>
      <c r="H15" s="716" t="n"/>
      <c r="I15" s="716" t="n"/>
      <c r="J15" s="685" t="n"/>
      <c r="K15" s="717" t="n"/>
      <c r="L15" s="717" t="n"/>
      <c r="M15" s="717" t="n"/>
    </row>
    <row r="16" hidden="1" outlineLevel="1" ht="14" customHeight="1" s="549">
      <c r="A16" s="712" t="n"/>
      <c r="B16" s="704" t="inlineStr">
        <is>
          <t xml:space="preserve">Compras de Equipos, EEPP, Otros </t>
        </is>
      </c>
      <c r="C16" s="690">
        <f>+'Flujo Bruto'!O64</f>
        <v/>
      </c>
      <c r="D16" s="690" t="n"/>
      <c r="E16" s="690" t="n"/>
      <c r="F16" s="690" t="n"/>
      <c r="G16" s="690" t="n"/>
      <c r="H16" s="690" t="n"/>
      <c r="I16" s="690" t="n"/>
      <c r="J16" s="690" t="n"/>
      <c r="K16" s="713" t="n"/>
      <c r="L16" s="713" t="n"/>
      <c r="M16" s="713" t="n"/>
    </row>
    <row r="17" hidden="1" outlineLevel="1" ht="14" customHeight="1" s="549">
      <c r="A17" s="714" t="n"/>
      <c r="B17" s="715" t="inlineStr">
        <is>
          <t>Mensajerias (Correo de Chile)</t>
        </is>
      </c>
      <c r="C17" s="716">
        <f>+'Flujo Bruto'!O65</f>
        <v/>
      </c>
      <c r="D17" s="716" t="n"/>
      <c r="E17" s="716" t="n"/>
      <c r="F17" s="716" t="n"/>
      <c r="G17" s="716" t="n"/>
      <c r="H17" s="716" t="n"/>
      <c r="I17" s="716" t="n"/>
      <c r="J17" s="685" t="n"/>
      <c r="K17" s="717" t="n"/>
      <c r="L17" s="717" t="n"/>
      <c r="M17" s="717" t="n"/>
    </row>
    <row r="18" hidden="1" outlineLevel="1" ht="14" customHeight="1" s="549">
      <c r="A18" s="712" t="n"/>
      <c r="B18" s="704" t="inlineStr">
        <is>
          <t>Impresión de manuales</t>
        </is>
      </c>
      <c r="C18" s="690">
        <f>+'Flujo Bruto'!O66</f>
        <v/>
      </c>
      <c r="D18" s="690" t="n"/>
      <c r="E18" s="690" t="n"/>
      <c r="F18" s="690" t="n"/>
      <c r="G18" s="690" t="n"/>
      <c r="H18" s="690" t="n"/>
      <c r="I18" s="690" t="n"/>
      <c r="J18" s="690" t="n"/>
      <c r="K18" s="713" t="n"/>
      <c r="L18" s="713" t="n"/>
      <c r="M18" s="713" t="n"/>
    </row>
    <row r="19" hidden="1" outlineLevel="1" ht="14" customHeight="1" s="549">
      <c r="A19" s="714" t="n"/>
      <c r="B19" s="715" t="inlineStr">
        <is>
          <t>Mantención y reparación de Vehículos</t>
        </is>
      </c>
      <c r="C19" s="716">
        <f>+'Flujo Bruto'!O67</f>
        <v/>
      </c>
      <c r="D19" s="716" t="n"/>
      <c r="E19" s="716" t="n"/>
      <c r="F19" s="716" t="n"/>
      <c r="G19" s="716" t="n"/>
      <c r="H19" s="716" t="n"/>
      <c r="I19" s="716" t="n"/>
      <c r="J19" s="685" t="n"/>
      <c r="K19" s="717" t="n"/>
      <c r="L19" s="717" t="n"/>
      <c r="M19" s="717" t="n"/>
    </row>
    <row r="20" hidden="1" outlineLevel="1" ht="14" customHeight="1" s="549">
      <c r="A20" s="712" t="n"/>
      <c r="B20" s="704" t="inlineStr">
        <is>
          <t xml:space="preserve">Otros varios </t>
        </is>
      </c>
      <c r="C20" s="690">
        <f>+'Flujo Bruto'!O68</f>
        <v/>
      </c>
      <c r="D20" s="690" t="n"/>
      <c r="E20" s="690" t="n"/>
      <c r="F20" s="690" t="n"/>
      <c r="G20" s="690" t="n"/>
      <c r="H20" s="690" t="n"/>
      <c r="I20" s="690" t="n"/>
      <c r="J20" s="690" t="n"/>
      <c r="K20" s="713" t="n"/>
      <c r="L20" s="713" t="n"/>
      <c r="M20" s="713" t="n"/>
    </row>
    <row r="21" hidden="1" outlineLevel="1" s="549">
      <c r="A21" s="483" t="n"/>
      <c r="B21" s="473" t="n"/>
      <c r="C21" s="718" t="n"/>
      <c r="D21" s="718" t="n"/>
      <c r="E21" s="718" t="n"/>
      <c r="F21" s="718" t="n"/>
      <c r="G21" s="718" t="n"/>
      <c r="H21" s="718" t="n"/>
      <c r="I21" s="718" t="n"/>
      <c r="J21" s="719" t="n"/>
      <c r="K21" s="461" t="n"/>
      <c r="L21" s="461" t="n"/>
    </row>
    <row r="22" collapsed="1" ht="14" customHeight="1" s="549">
      <c r="A22" s="720" t="n">
        <v>2</v>
      </c>
      <c r="B22" s="721" t="inlineStr">
        <is>
          <t>Catastro georeferenciado uno a uno de viviendas</t>
        </is>
      </c>
      <c r="C22" s="722">
        <f>SUM(C23:C39)</f>
        <v/>
      </c>
      <c r="D22" s="722">
        <f>SUM(D23:D39)</f>
        <v/>
      </c>
      <c r="E22" s="722">
        <f>SUM(E23:E39)</f>
        <v/>
      </c>
      <c r="F22" s="722">
        <f>SUM(F23:F39)</f>
        <v/>
      </c>
      <c r="G22" s="722">
        <f>SUM(G23:G39)</f>
        <v/>
      </c>
      <c r="H22" s="722">
        <f>SUM(H23:H39)</f>
        <v/>
      </c>
      <c r="I22" s="722">
        <f>SUM(I23:I39)</f>
        <v/>
      </c>
      <c r="J22" s="685">
        <f>SUM(C22:I22)</f>
        <v/>
      </c>
      <c r="K22" s="717" t="inlineStr">
        <is>
          <t>RRCC</t>
        </is>
      </c>
      <c r="L22" s="717" t="inlineStr">
        <is>
          <t>1+2+3</t>
        </is>
      </c>
      <c r="M22" s="717" t="n"/>
    </row>
    <row r="23" hidden="1" outlineLevel="1" ht="14" customHeight="1" s="549">
      <c r="A23" s="712" t="n"/>
      <c r="B23" s="704" t="inlineStr">
        <is>
          <t>Planilla Actual</t>
        </is>
      </c>
      <c r="C23" s="690" t="n"/>
      <c r="D23" s="690" t="n">
        <v>2400000</v>
      </c>
      <c r="E23" s="690" t="n"/>
      <c r="F23" s="690" t="n"/>
      <c r="G23" s="690" t="n"/>
      <c r="H23" s="690" t="n"/>
      <c r="I23" s="690" t="n"/>
      <c r="J23" s="690" t="n"/>
      <c r="K23" s="713" t="n"/>
      <c r="L23" s="713" t="n"/>
      <c r="M23" s="713" t="n"/>
    </row>
    <row r="24" hidden="1" outlineLevel="1" ht="14" customHeight="1" s="549">
      <c r="A24" s="714" t="n"/>
      <c r="B24" s="715" t="inlineStr">
        <is>
          <t>Descarga estructura</t>
        </is>
      </c>
      <c r="C24" s="716" t="n"/>
      <c r="D24" s="716" t="n"/>
      <c r="E24" s="716" t="n"/>
      <c r="F24" s="716" t="n"/>
      <c r="G24" s="716" t="n"/>
      <c r="H24" s="716" t="n"/>
      <c r="I24" s="716" t="n"/>
      <c r="J24" s="685" t="n"/>
      <c r="K24" s="717" t="n"/>
      <c r="L24" s="717" t="n"/>
      <c r="M24" s="717" t="n"/>
    </row>
    <row r="25" hidden="1" outlineLevel="1" ht="14" customHeight="1" s="549">
      <c r="A25" s="712" t="n"/>
      <c r="B25" s="704" t="inlineStr">
        <is>
          <t>Encargado territorial RRHH</t>
        </is>
      </c>
      <c r="C25" s="690" t="n"/>
      <c r="D25" s="690" t="n">
        <v>900000</v>
      </c>
      <c r="E25" s="690" t="n"/>
      <c r="F25" s="690" t="n"/>
      <c r="G25" s="690" t="n"/>
      <c r="H25" s="690" t="n"/>
      <c r="I25" s="690" t="n"/>
      <c r="J25" s="690" t="n"/>
      <c r="K25" s="713" t="n"/>
      <c r="L25" s="713" t="n"/>
      <c r="M25" s="713" t="n"/>
    </row>
    <row r="26" hidden="1" outlineLevel="1" ht="14" customHeight="1" s="549">
      <c r="A26" s="714" t="n"/>
      <c r="B26" s="715" t="inlineStr">
        <is>
          <t>Arriendo vehículo diario - RRCC</t>
        </is>
      </c>
      <c r="C26" s="716" t="n"/>
      <c r="D26" s="716">
        <f>Supuestos!G37*15</f>
        <v/>
      </c>
      <c r="E26" s="716" t="n"/>
      <c r="F26" s="716" t="n"/>
      <c r="G26" s="716" t="n"/>
      <c r="H26" s="716" t="n"/>
      <c r="I26" s="716" t="n"/>
      <c r="J26" s="685" t="n"/>
      <c r="K26" s="717" t="n"/>
      <c r="L26" s="717" t="n"/>
      <c r="M26" s="717" t="n"/>
    </row>
    <row r="27" hidden="1" outlineLevel="1" ht="14" customHeight="1" s="549">
      <c r="A27" s="712" t="n"/>
      <c r="B27" s="704" t="inlineStr">
        <is>
          <t>Vehiculo RRCC</t>
        </is>
      </c>
      <c r="C27" s="690" t="n"/>
      <c r="D27" s="690" t="n"/>
      <c r="E27" s="690" t="n"/>
      <c r="F27" s="690" t="n"/>
      <c r="G27" s="690" t="n"/>
      <c r="H27" s="690" t="n"/>
      <c r="I27" s="690" t="n"/>
      <c r="J27" s="690" t="n"/>
      <c r="K27" s="713" t="n"/>
      <c r="L27" s="713" t="n"/>
      <c r="M27" s="713" t="n"/>
    </row>
    <row r="28" hidden="1" outlineLevel="1" ht="14" customHeight="1" s="549">
      <c r="A28" s="714" t="n"/>
      <c r="B28" s="715" t="inlineStr">
        <is>
          <t>Traslados de personal</t>
        </is>
      </c>
      <c r="C28" s="716" t="n"/>
      <c r="D28" s="716" t="n"/>
      <c r="E28" s="716" t="n"/>
      <c r="F28" s="716" t="n"/>
      <c r="G28" s="716" t="n"/>
      <c r="H28" s="716" t="n"/>
      <c r="I28" s="716" t="n"/>
      <c r="J28" s="685" t="n"/>
      <c r="K28" s="717" t="n"/>
      <c r="L28" s="717" t="n"/>
      <c r="M28" s="717" t="n"/>
    </row>
    <row r="29" hidden="1" outlineLevel="1" ht="14" customHeight="1" s="549">
      <c r="A29" s="712" t="n"/>
      <c r="B29" s="704" t="inlineStr">
        <is>
          <t>Alojamiento</t>
        </is>
      </c>
      <c r="C29" s="690" t="n"/>
      <c r="D29" s="690" t="n">
        <v>1500000</v>
      </c>
      <c r="E29" s="690" t="n"/>
      <c r="F29" s="690" t="n"/>
      <c r="G29" s="690" t="n"/>
      <c r="H29" s="690" t="n"/>
      <c r="I29" s="690" t="n"/>
      <c r="J29" s="690" t="n"/>
      <c r="K29" s="713" t="n"/>
      <c r="L29" s="713" t="n"/>
      <c r="M29" s="713" t="n"/>
    </row>
    <row r="30" hidden="1" outlineLevel="1" ht="14" customHeight="1" s="549">
      <c r="A30" s="714" t="n"/>
      <c r="B30" s="715" t="inlineStr">
        <is>
          <t>Alimentación</t>
        </is>
      </c>
      <c r="C30" s="716" t="n"/>
      <c r="D30" s="716" t="n">
        <v>1500000</v>
      </c>
      <c r="E30" s="716" t="n"/>
      <c r="F30" s="716" t="n"/>
      <c r="G30" s="716" t="n"/>
      <c r="H30" s="716" t="n"/>
      <c r="I30" s="716" t="n"/>
      <c r="J30" s="685" t="n"/>
      <c r="K30" s="717" t="n"/>
      <c r="L30" s="717" t="n"/>
      <c r="M30" s="717" t="n"/>
    </row>
    <row r="31" hidden="1" outlineLevel="1" ht="14" customHeight="1" s="549">
      <c r="A31" s="712" t="n"/>
      <c r="B31" s="704" t="inlineStr">
        <is>
          <t>Combustible arriendo diario</t>
        </is>
      </c>
      <c r="C31" s="690" t="n"/>
      <c r="D31" s="690" t="n">
        <v>1000000</v>
      </c>
      <c r="E31" s="690" t="n"/>
      <c r="F31" s="690" t="n"/>
      <c r="G31" s="690" t="n"/>
      <c r="H31" s="690" t="n"/>
      <c r="I31" s="690" t="n"/>
      <c r="J31" s="690" t="n"/>
      <c r="K31" s="713" t="n"/>
      <c r="L31" s="713" t="n"/>
      <c r="M31" s="713" t="n"/>
    </row>
    <row r="32" hidden="1" outlineLevel="1" ht="14" customHeight="1" s="549">
      <c r="A32" s="714" t="n"/>
      <c r="B32" s="715" t="inlineStr">
        <is>
          <t>Combustible arriendo mensual</t>
        </is>
      </c>
      <c r="C32" s="716" t="n"/>
      <c r="D32" s="716" t="n"/>
      <c r="E32" s="716" t="n"/>
      <c r="F32" s="716" t="n"/>
      <c r="G32" s="716" t="n"/>
      <c r="H32" s="716" t="n"/>
      <c r="I32" s="716" t="n"/>
      <c r="J32" s="685" t="n"/>
      <c r="K32" s="717" t="n"/>
      <c r="L32" s="717" t="n"/>
      <c r="M32" s="717" t="n"/>
    </row>
    <row r="33" hidden="1" outlineLevel="1" ht="14" customHeight="1" s="549">
      <c r="A33" s="712" t="n"/>
      <c r="B33" s="704" t="inlineStr">
        <is>
          <t>Peajes</t>
        </is>
      </c>
      <c r="C33" s="690" t="n"/>
      <c r="D33" s="690" t="n">
        <v>400000</v>
      </c>
      <c r="E33" s="690" t="n"/>
      <c r="F33" s="690" t="n"/>
      <c r="G33" s="690" t="n"/>
      <c r="H33" s="690" t="n"/>
      <c r="I33" s="690" t="n"/>
      <c r="J33" s="690" t="n"/>
      <c r="K33" s="713" t="n"/>
      <c r="L33" s="713" t="n"/>
      <c r="M33" s="713" t="n"/>
    </row>
    <row r="34" hidden="1" outlineLevel="1" ht="14" customHeight="1" s="549">
      <c r="A34" s="714" t="n"/>
      <c r="B34" s="715" t="inlineStr">
        <is>
          <t xml:space="preserve">Compras de Equipos, EEPP, Otros </t>
        </is>
      </c>
      <c r="C34" s="716" t="n"/>
      <c r="D34" s="716" t="n">
        <v>1200000</v>
      </c>
      <c r="E34" s="716" t="n"/>
      <c r="F34" s="716" t="n"/>
      <c r="G34" s="716" t="n"/>
      <c r="H34" s="716" t="n"/>
      <c r="I34" s="716" t="n"/>
      <c r="J34" s="685" t="n"/>
      <c r="K34" s="717" t="n"/>
      <c r="L34" s="717" t="n"/>
      <c r="M34" s="717" t="n"/>
    </row>
    <row r="35" hidden="1" outlineLevel="1" ht="14" customHeight="1" s="549">
      <c r="A35" s="712" t="n"/>
      <c r="B35" s="704" t="inlineStr">
        <is>
          <t>Mensajerias (Correo de Chile)</t>
        </is>
      </c>
      <c r="C35" s="690" t="n"/>
      <c r="D35" s="690" t="n"/>
      <c r="E35" s="690" t="n"/>
      <c r="F35" s="690" t="n"/>
      <c r="G35" s="690" t="n"/>
      <c r="H35" s="690" t="n"/>
      <c r="I35" s="690" t="n"/>
      <c r="J35" s="690" t="n"/>
      <c r="K35" s="713" t="n"/>
      <c r="L35" s="713" t="n"/>
      <c r="M35" s="713" t="n"/>
    </row>
    <row r="36" hidden="1" outlineLevel="1" ht="14" customHeight="1" s="549">
      <c r="A36" s="714" t="n"/>
      <c r="B36" s="715" t="inlineStr">
        <is>
          <t>Impresión de manuales</t>
        </is>
      </c>
      <c r="C36" s="716" t="n"/>
      <c r="D36" s="716" t="n"/>
      <c r="E36" s="716" t="n"/>
      <c r="F36" s="716" t="n"/>
      <c r="G36" s="716" t="n"/>
      <c r="H36" s="716" t="n"/>
      <c r="I36" s="716" t="n"/>
      <c r="J36" s="685" t="n"/>
      <c r="K36" s="717" t="n"/>
      <c r="L36" s="717" t="n"/>
      <c r="M36" s="717" t="n"/>
    </row>
    <row r="37" hidden="1" outlineLevel="1" ht="14" customHeight="1" s="549">
      <c r="A37" s="712" t="n"/>
      <c r="B37" s="704" t="inlineStr">
        <is>
          <t>Mantención y reparación de Vehículos</t>
        </is>
      </c>
      <c r="C37" s="690" t="n"/>
      <c r="D37" s="690" t="n"/>
      <c r="E37" s="690" t="n"/>
      <c r="F37" s="690" t="n"/>
      <c r="G37" s="690" t="n"/>
      <c r="H37" s="690" t="n"/>
      <c r="I37" s="690" t="n"/>
      <c r="J37" s="690" t="n"/>
      <c r="K37" s="713" t="n"/>
      <c r="L37" s="713" t="n"/>
      <c r="M37" s="713" t="n"/>
    </row>
    <row r="38" hidden="1" outlineLevel="1" ht="14" customHeight="1" s="549">
      <c r="A38" s="714" t="n"/>
      <c r="B38" s="715" t="inlineStr">
        <is>
          <t xml:space="preserve">Otros varios </t>
        </is>
      </c>
      <c r="C38" s="716" t="n"/>
      <c r="D38" s="716" t="n"/>
      <c r="E38" s="716" t="n"/>
      <c r="F38" s="716" t="n"/>
      <c r="G38" s="716" t="n"/>
      <c r="H38" s="716" t="n"/>
      <c r="I38" s="716" t="n"/>
      <c r="J38" s="685" t="n"/>
      <c r="K38" s="717" t="n"/>
      <c r="L38" s="717" t="n"/>
      <c r="M38" s="717" t="n"/>
    </row>
    <row r="39" hidden="1" outlineLevel="1" s="549">
      <c r="A39" s="483" t="n"/>
      <c r="B39" s="473" t="n"/>
      <c r="C39" s="718" t="n"/>
      <c r="D39" s="718" t="n"/>
      <c r="E39" s="718" t="n"/>
      <c r="F39" s="718" t="n"/>
      <c r="G39" s="718" t="n"/>
      <c r="H39" s="718" t="n"/>
      <c r="I39" s="718" t="n"/>
      <c r="J39" s="719" t="n"/>
      <c r="K39" s="461" t="n"/>
      <c r="L39" s="461" t="n"/>
    </row>
    <row r="40" collapsed="1" ht="14" customHeight="1" s="549">
      <c r="A40" s="712" t="n">
        <v>3</v>
      </c>
      <c r="B40" s="689" t="inlineStr">
        <is>
          <t>Verificación y sensibilización de usuarios catastrados. Incorporación de beneficiarios a programa de energía.</t>
        </is>
      </c>
      <c r="C40" s="690">
        <f>SUM(C41:C57)</f>
        <v/>
      </c>
      <c r="D40" s="690">
        <f>SUM(D41:D57)</f>
        <v/>
      </c>
      <c r="E40" s="690">
        <f>SUM(E41:E57)</f>
        <v/>
      </c>
      <c r="F40" s="690">
        <f>SUM(F41:F57)</f>
        <v/>
      </c>
      <c r="G40" s="690">
        <f>SUM(G41:G57)</f>
        <v/>
      </c>
      <c r="H40" s="690">
        <f>SUM(H41:H57)</f>
        <v/>
      </c>
      <c r="I40" s="690">
        <f>SUM(I41:I57)</f>
        <v/>
      </c>
      <c r="J40" s="690">
        <f>SUM(C40:I40)</f>
        <v/>
      </c>
      <c r="K40" s="713" t="inlineStr">
        <is>
          <t>RRCC</t>
        </is>
      </c>
      <c r="L40" s="713" t="inlineStr">
        <is>
          <t>1+2+3</t>
        </is>
      </c>
      <c r="M40" s="713" t="n"/>
    </row>
    <row r="41" hidden="1" outlineLevel="1" ht="14" customHeight="1" s="549">
      <c r="A41" s="714" t="n"/>
      <c r="B41" s="715" t="inlineStr">
        <is>
          <t>Planilla Actual</t>
        </is>
      </c>
      <c r="C41" s="716" t="n"/>
      <c r="D41" s="716" t="n"/>
      <c r="E41" s="716" t="n"/>
      <c r="F41" s="716" t="n"/>
      <c r="G41" s="716" t="n"/>
      <c r="H41" s="716" t="n"/>
      <c r="I41" s="716" t="n"/>
      <c r="J41" s="685" t="n"/>
      <c r="K41" s="717" t="n"/>
      <c r="L41" s="717" t="n"/>
      <c r="M41" s="717" t="n"/>
    </row>
    <row r="42" hidden="1" outlineLevel="1" ht="14" customHeight="1" s="549">
      <c r="A42" s="712" t="n"/>
      <c r="B42" s="704" t="inlineStr">
        <is>
          <t>Descarga estructura</t>
        </is>
      </c>
      <c r="C42" s="690" t="n"/>
      <c r="D42" s="690" t="n"/>
      <c r="E42" s="690" t="n">
        <v>8000000</v>
      </c>
      <c r="F42" s="690" t="n"/>
      <c r="G42" s="690" t="n"/>
      <c r="H42" s="690" t="n"/>
      <c r="I42" s="690" t="n"/>
      <c r="J42" s="690" t="n"/>
      <c r="K42" s="713" t="n"/>
      <c r="L42" s="713" t="n"/>
      <c r="M42" s="713" t="n"/>
    </row>
    <row r="43" hidden="1" outlineLevel="1" ht="14" customHeight="1" s="549">
      <c r="A43" s="714" t="n"/>
      <c r="B43" s="715" t="inlineStr">
        <is>
          <t>Encargado territorial RRHH</t>
        </is>
      </c>
      <c r="C43" s="716" t="n"/>
      <c r="D43" s="716" t="n"/>
      <c r="E43" s="716" t="n">
        <v>900000</v>
      </c>
      <c r="F43" s="716" t="n"/>
      <c r="G43" s="716" t="n"/>
      <c r="H43" s="716" t="n"/>
      <c r="I43" s="716" t="n"/>
      <c r="J43" s="685" t="n"/>
      <c r="K43" s="717" t="n"/>
      <c r="L43" s="717" t="n"/>
      <c r="M43" s="717" t="n"/>
    </row>
    <row r="44" hidden="1" outlineLevel="1" ht="14" customHeight="1" s="549">
      <c r="A44" s="712" t="n"/>
      <c r="B44" s="704" t="inlineStr">
        <is>
          <t>Arriendo vehículo diario - RRCC</t>
        </is>
      </c>
      <c r="C44" s="690" t="n"/>
      <c r="D44" s="690" t="n"/>
      <c r="E44" s="690" t="n"/>
      <c r="F44" s="690" t="n"/>
      <c r="G44" s="690" t="n"/>
      <c r="H44" s="690" t="n"/>
      <c r="I44" s="690" t="n"/>
      <c r="J44" s="690" t="n"/>
      <c r="K44" s="713" t="n"/>
      <c r="L44" s="713" t="n"/>
      <c r="M44" s="713" t="n"/>
    </row>
    <row r="45" hidden="1" outlineLevel="1" ht="14" customHeight="1" s="549">
      <c r="A45" s="714" t="n"/>
      <c r="B45" s="715" t="inlineStr">
        <is>
          <t>Vehiculo RRCC</t>
        </is>
      </c>
      <c r="C45" s="716" t="n"/>
      <c r="D45" s="716" t="n"/>
      <c r="E45" s="716" t="n"/>
      <c r="F45" s="716" t="n"/>
      <c r="G45" s="716" t="n"/>
      <c r="H45" s="716" t="n"/>
      <c r="I45" s="716" t="n"/>
      <c r="J45" s="685" t="n"/>
      <c r="K45" s="717" t="n"/>
      <c r="L45" s="717" t="n"/>
      <c r="M45" s="717" t="n"/>
    </row>
    <row r="46" hidden="1" outlineLevel="1" ht="14" customHeight="1" s="549">
      <c r="A46" s="712" t="n"/>
      <c r="B46" s="704" t="inlineStr">
        <is>
          <t>Traslados de personal</t>
        </is>
      </c>
      <c r="C46" s="690" t="n"/>
      <c r="D46" s="690" t="n"/>
      <c r="E46" s="690" t="n"/>
      <c r="F46" s="690" t="n"/>
      <c r="G46" s="690" t="n"/>
      <c r="H46" s="690" t="n"/>
      <c r="I46" s="690" t="n"/>
      <c r="J46" s="690" t="n"/>
      <c r="K46" s="713" t="n"/>
      <c r="L46" s="713" t="n"/>
      <c r="M46" s="713" t="n"/>
    </row>
    <row r="47" hidden="1" outlineLevel="1" ht="14" customHeight="1" s="549">
      <c r="A47" s="714" t="n"/>
      <c r="B47" s="715" t="inlineStr">
        <is>
          <t>Alojamiento</t>
        </is>
      </c>
      <c r="C47" s="716" t="n"/>
      <c r="D47" s="716" t="n"/>
      <c r="E47" s="716" t="n"/>
      <c r="F47" s="716" t="n"/>
      <c r="G47" s="716" t="n"/>
      <c r="H47" s="716" t="n"/>
      <c r="I47" s="716" t="n"/>
      <c r="J47" s="685" t="n"/>
      <c r="K47" s="717" t="n"/>
      <c r="L47" s="717" t="n"/>
      <c r="M47" s="717" t="n"/>
    </row>
    <row r="48" hidden="1" outlineLevel="1" ht="14" customHeight="1" s="549">
      <c r="A48" s="712" t="n"/>
      <c r="B48" s="704" t="inlineStr">
        <is>
          <t>Alimentación</t>
        </is>
      </c>
      <c r="C48" s="690" t="n"/>
      <c r="D48" s="690" t="n"/>
      <c r="E48" s="690" t="n"/>
      <c r="F48" s="690" t="n"/>
      <c r="G48" s="690" t="n"/>
      <c r="H48" s="690" t="n"/>
      <c r="I48" s="690" t="n"/>
      <c r="J48" s="690" t="n"/>
      <c r="K48" s="713" t="n"/>
      <c r="L48" s="713" t="n"/>
      <c r="M48" s="713" t="n"/>
    </row>
    <row r="49" hidden="1" outlineLevel="1" ht="14" customHeight="1" s="549">
      <c r="A49" s="714" t="n"/>
      <c r="B49" s="715" t="inlineStr">
        <is>
          <t>Combustible arriendo diario</t>
        </is>
      </c>
      <c r="C49" s="716" t="n"/>
      <c r="D49" s="716" t="n"/>
      <c r="E49" s="716" t="n"/>
      <c r="F49" s="716" t="n"/>
      <c r="G49" s="716" t="n"/>
      <c r="H49" s="716" t="n"/>
      <c r="I49" s="716" t="n"/>
      <c r="J49" s="685" t="n"/>
      <c r="K49" s="717" t="n"/>
      <c r="L49" s="717" t="n"/>
      <c r="M49" s="717" t="n"/>
    </row>
    <row r="50" hidden="1" outlineLevel="1" ht="14" customHeight="1" s="549">
      <c r="A50" s="712" t="n"/>
      <c r="B50" s="704" t="inlineStr">
        <is>
          <t>Combustible arriendo mensual</t>
        </is>
      </c>
      <c r="C50" s="690" t="n"/>
      <c r="D50" s="690" t="n"/>
      <c r="E50" s="690" t="n"/>
      <c r="F50" s="690" t="n"/>
      <c r="G50" s="690" t="n"/>
      <c r="H50" s="690" t="n"/>
      <c r="I50" s="690" t="n"/>
      <c r="J50" s="690" t="n"/>
      <c r="K50" s="713" t="n"/>
      <c r="L50" s="713" t="n"/>
      <c r="M50" s="713" t="n"/>
    </row>
    <row r="51" hidden="1" outlineLevel="1" ht="14" customHeight="1" s="549">
      <c r="A51" s="714" t="n"/>
      <c r="B51" s="715" t="inlineStr">
        <is>
          <t>Peajes</t>
        </is>
      </c>
      <c r="C51" s="716" t="n"/>
      <c r="D51" s="716" t="n"/>
      <c r="E51" s="716" t="n"/>
      <c r="F51" s="716" t="n"/>
      <c r="G51" s="716" t="n"/>
      <c r="H51" s="716" t="n"/>
      <c r="I51" s="716" t="n"/>
      <c r="J51" s="685" t="n"/>
      <c r="K51" s="717" t="n"/>
      <c r="L51" s="717" t="n"/>
      <c r="M51" s="717" t="n"/>
    </row>
    <row r="52" hidden="1" outlineLevel="1" ht="14" customHeight="1" s="549">
      <c r="A52" s="712" t="n"/>
      <c r="B52" s="704" t="inlineStr">
        <is>
          <t xml:space="preserve">Compras de Equipos, EEPP, Otros </t>
        </is>
      </c>
      <c r="C52" s="690" t="n"/>
      <c r="D52" s="690" t="n"/>
      <c r="E52" s="690" t="n"/>
      <c r="F52" s="690" t="n"/>
      <c r="G52" s="690" t="n"/>
      <c r="H52" s="690" t="n"/>
      <c r="I52" s="690" t="n"/>
      <c r="J52" s="690" t="n"/>
      <c r="K52" s="713" t="n"/>
      <c r="L52" s="713" t="n"/>
      <c r="M52" s="713" t="n"/>
    </row>
    <row r="53" hidden="1" outlineLevel="1" ht="14" customHeight="1" s="549">
      <c r="A53" s="714" t="n"/>
      <c r="B53" s="715" t="inlineStr">
        <is>
          <t>Mensajerias (Correo de Chile)</t>
        </is>
      </c>
      <c r="C53" s="716" t="n"/>
      <c r="D53" s="716" t="n"/>
      <c r="E53" s="716" t="n"/>
      <c r="F53" s="716" t="n"/>
      <c r="G53" s="716" t="n"/>
      <c r="H53" s="716" t="n"/>
      <c r="I53" s="716" t="n"/>
      <c r="J53" s="685" t="n"/>
      <c r="K53" s="717" t="n"/>
      <c r="L53" s="717" t="n"/>
      <c r="M53" s="717" t="n"/>
    </row>
    <row r="54" hidden="1" outlineLevel="1" ht="14" customHeight="1" s="549">
      <c r="A54" s="712" t="n"/>
      <c r="B54" s="704" t="inlineStr">
        <is>
          <t>Impresión de manuales</t>
        </is>
      </c>
      <c r="C54" s="690" t="n"/>
      <c r="D54" s="690" t="n"/>
      <c r="E54" s="690" t="n"/>
      <c r="F54" s="690" t="n"/>
      <c r="G54" s="690" t="n"/>
      <c r="H54" s="690" t="n"/>
      <c r="I54" s="690" t="n"/>
      <c r="J54" s="690" t="n"/>
      <c r="K54" s="713" t="n"/>
      <c r="L54" s="713" t="n"/>
      <c r="M54" s="713" t="n"/>
    </row>
    <row r="55" hidden="1" outlineLevel="1" ht="14" customHeight="1" s="549">
      <c r="A55" s="714" t="n"/>
      <c r="B55" s="715" t="inlineStr">
        <is>
          <t>Mantención y reparación de Vehículos</t>
        </is>
      </c>
      <c r="C55" s="716" t="n"/>
      <c r="D55" s="716" t="n"/>
      <c r="E55" s="716" t="n"/>
      <c r="F55" s="716" t="n"/>
      <c r="G55" s="716" t="n"/>
      <c r="H55" s="716" t="n"/>
      <c r="I55" s="716" t="n"/>
      <c r="J55" s="685" t="n"/>
      <c r="K55" s="717" t="n"/>
      <c r="L55" s="717" t="n"/>
      <c r="M55" s="717" t="n"/>
    </row>
    <row r="56" hidden="1" outlineLevel="1" ht="14" customHeight="1" s="549">
      <c r="A56" s="712" t="n"/>
      <c r="B56" s="704" t="inlineStr">
        <is>
          <t xml:space="preserve">Otros varios </t>
        </is>
      </c>
      <c r="C56" s="690" t="n"/>
      <c r="D56" s="690" t="n"/>
      <c r="E56" s="690" t="n"/>
      <c r="F56" s="690" t="n"/>
      <c r="G56" s="690" t="n"/>
      <c r="H56" s="690" t="n"/>
      <c r="I56" s="690" t="n"/>
      <c r="J56" s="690" t="n"/>
      <c r="K56" s="713" t="n"/>
      <c r="L56" s="713" t="n"/>
      <c r="M56" s="713" t="n"/>
    </row>
    <row r="57" hidden="1" outlineLevel="1" s="549">
      <c r="A57" s="483" t="n"/>
      <c r="B57" s="473" t="n"/>
      <c r="C57" s="718" t="n"/>
      <c r="D57" s="718" t="n"/>
      <c r="E57" s="718" t="n"/>
      <c r="F57" s="718" t="n"/>
      <c r="G57" s="718" t="n"/>
      <c r="H57" s="718" t="n"/>
      <c r="I57" s="718" t="n"/>
      <c r="J57" s="723" t="n"/>
      <c r="K57" s="461" t="n"/>
      <c r="L57" s="461" t="n"/>
    </row>
    <row r="58" hidden="1" outlineLevel="1" s="549">
      <c r="A58" s="482" t="n"/>
      <c r="B58" s="458" t="n"/>
      <c r="C58" s="471" t="n"/>
      <c r="D58" s="471" t="n"/>
      <c r="E58" s="471" t="n"/>
      <c r="F58" s="471" t="n"/>
      <c r="G58" s="471" t="n"/>
      <c r="H58" s="471" t="n"/>
      <c r="I58" s="724" t="n"/>
      <c r="J58" s="723" t="n"/>
      <c r="K58" s="461" t="n"/>
      <c r="L58" s="461" t="n"/>
    </row>
    <row r="59" collapsed="1" ht="14" customHeight="1" s="549">
      <c r="A59" s="720" t="n">
        <v>4</v>
      </c>
      <c r="B59" s="721" t="inlineStr">
        <is>
          <t xml:space="preserve">Capacitación de sistemas ERNC usuarios beneficiario. </t>
        </is>
      </c>
      <c r="C59" s="722">
        <f>SUM(C60:C76)</f>
        <v/>
      </c>
      <c r="D59" s="722">
        <f>SUM(D60:D76)</f>
        <v/>
      </c>
      <c r="E59" s="722">
        <f>SUM(E60:E76)</f>
        <v/>
      </c>
      <c r="F59" s="722">
        <f>SUM(F60:F76)</f>
        <v/>
      </c>
      <c r="G59" s="722">
        <f>SUM(G60:G76)</f>
        <v/>
      </c>
      <c r="H59" s="722">
        <f>SUM(H60:H76)</f>
        <v/>
      </c>
      <c r="I59" s="722">
        <f>SUM(I60:I76)</f>
        <v/>
      </c>
      <c r="J59" s="685">
        <f>SUM(C59:I59)</f>
        <v/>
      </c>
      <c r="K59" s="717" t="inlineStr">
        <is>
          <t>RRCC</t>
        </is>
      </c>
      <c r="L59" s="717" t="n"/>
      <c r="M59" s="717" t="n"/>
    </row>
    <row r="60" hidden="1" outlineLevel="1" ht="14" customHeight="1" s="549">
      <c r="A60" s="712" t="n"/>
      <c r="B60" s="704" t="inlineStr">
        <is>
          <t>Planilla Actual</t>
        </is>
      </c>
      <c r="C60" s="690" t="n"/>
      <c r="D60" s="690" t="n"/>
      <c r="E60" s="690">
        <f>'Flujo Bruto'!Q$21</f>
        <v/>
      </c>
      <c r="F60" s="690" t="n"/>
      <c r="G60" s="690" t="n"/>
      <c r="H60" s="690" t="n"/>
      <c r="I60" s="690" t="n"/>
      <c r="J60" s="690" t="n"/>
      <c r="K60" s="713" t="n"/>
      <c r="L60" s="713" t="n"/>
      <c r="M60" s="713" t="n"/>
    </row>
    <row r="61" hidden="1" outlineLevel="1" ht="14" customHeight="1" s="549">
      <c r="A61" s="714" t="n"/>
      <c r="B61" s="715" t="inlineStr">
        <is>
          <t>Descarga estructura</t>
        </is>
      </c>
      <c r="C61" s="716" t="n"/>
      <c r="D61" s="716" t="n"/>
      <c r="E61" s="716" t="n">
        <v>3000000</v>
      </c>
      <c r="F61" s="716" t="n"/>
      <c r="G61" s="716" t="n"/>
      <c r="H61" s="716" t="n"/>
      <c r="I61" s="716" t="n"/>
      <c r="J61" s="685" t="n"/>
      <c r="K61" s="717" t="n"/>
      <c r="L61" s="717" t="n"/>
      <c r="M61" s="717" t="n"/>
    </row>
    <row r="62" hidden="1" outlineLevel="1" ht="14" customHeight="1" s="549">
      <c r="A62" s="712" t="n"/>
      <c r="B62" s="704" t="inlineStr">
        <is>
          <t>Encargado territorial RRHH</t>
        </is>
      </c>
      <c r="C62" s="690" t="n"/>
      <c r="D62" s="690" t="n"/>
      <c r="E62" s="690" t="n"/>
      <c r="F62" s="690" t="n"/>
      <c r="G62" s="690" t="n"/>
      <c r="H62" s="690" t="n"/>
      <c r="I62" s="690" t="n"/>
      <c r="J62" s="690" t="n"/>
      <c r="K62" s="713" t="n"/>
      <c r="L62" s="713" t="n"/>
      <c r="M62" s="713" t="n"/>
    </row>
    <row r="63" hidden="1" outlineLevel="1" ht="14" customHeight="1" s="549">
      <c r="A63" s="714" t="n"/>
      <c r="B63" s="715" t="inlineStr">
        <is>
          <t>Arriendo vehículo diario - RRCC</t>
        </is>
      </c>
      <c r="C63" s="716" t="n"/>
      <c r="D63" s="716" t="n"/>
      <c r="E63" s="716" t="n"/>
      <c r="F63" s="716" t="n"/>
      <c r="G63" s="716" t="n"/>
      <c r="H63" s="716" t="n"/>
      <c r="I63" s="716" t="n"/>
      <c r="J63" s="685" t="n"/>
      <c r="K63" s="717" t="n"/>
      <c r="L63" s="717" t="n"/>
      <c r="M63" s="717" t="n"/>
    </row>
    <row r="64" hidden="1" outlineLevel="1" ht="14" customHeight="1" s="549">
      <c r="A64" s="712" t="n"/>
      <c r="B64" s="704" t="inlineStr">
        <is>
          <t>Vehiculo RRCC</t>
        </is>
      </c>
      <c r="C64" s="690" t="n"/>
      <c r="D64" s="690" t="n"/>
      <c r="E64" s="690" t="n"/>
      <c r="F64" s="690" t="n"/>
      <c r="G64" s="690" t="n"/>
      <c r="H64" s="690" t="n"/>
      <c r="I64" s="690" t="n"/>
      <c r="J64" s="690" t="n"/>
      <c r="K64" s="713" t="n"/>
      <c r="L64" s="713" t="n"/>
      <c r="M64" s="713" t="n"/>
    </row>
    <row r="65" hidden="1" outlineLevel="1" ht="14" customHeight="1" s="549">
      <c r="A65" s="714" t="n"/>
      <c r="B65" s="715" t="inlineStr">
        <is>
          <t>Traslados de personal</t>
        </is>
      </c>
      <c r="C65" s="716" t="n"/>
      <c r="D65" s="716" t="n"/>
      <c r="E65" s="716" t="n"/>
      <c r="F65" s="716" t="n"/>
      <c r="G65" s="716" t="n"/>
      <c r="H65" s="716" t="n"/>
      <c r="I65" s="716" t="n"/>
      <c r="J65" s="685" t="n"/>
      <c r="K65" s="717" t="n"/>
      <c r="L65" s="717" t="n"/>
      <c r="M65" s="717" t="n"/>
    </row>
    <row r="66" hidden="1" outlineLevel="1" ht="14" customHeight="1" s="549">
      <c r="A66" s="712" t="n"/>
      <c r="B66" s="704" t="inlineStr">
        <is>
          <t>Alojamiento</t>
        </is>
      </c>
      <c r="C66" s="690" t="n"/>
      <c r="D66" s="690" t="n"/>
      <c r="E66" s="690" t="n"/>
      <c r="F66" s="690" t="n"/>
      <c r="G66" s="690" t="n"/>
      <c r="H66" s="690" t="n"/>
      <c r="I66" s="690" t="n"/>
      <c r="J66" s="690" t="n"/>
      <c r="K66" s="713" t="n"/>
      <c r="L66" s="713" t="n"/>
      <c r="M66" s="713" t="n"/>
    </row>
    <row r="67" hidden="1" outlineLevel="1" ht="14" customHeight="1" s="549">
      <c r="A67" s="714" t="n"/>
      <c r="B67" s="715" t="inlineStr">
        <is>
          <t>Alimentación</t>
        </is>
      </c>
      <c r="C67" s="716" t="n"/>
      <c r="D67" s="716" t="n"/>
      <c r="E67" s="716" t="n"/>
      <c r="F67" s="716" t="n"/>
      <c r="G67" s="716" t="n"/>
      <c r="H67" s="716" t="n"/>
      <c r="I67" s="716" t="n"/>
      <c r="J67" s="685" t="n"/>
      <c r="K67" s="717" t="n"/>
      <c r="L67" s="717" t="n"/>
      <c r="M67" s="717" t="n"/>
    </row>
    <row r="68" hidden="1" outlineLevel="1" ht="14" customHeight="1" s="549">
      <c r="A68" s="712" t="n"/>
      <c r="B68" s="704" t="inlineStr">
        <is>
          <t>Combustible arriendo diario</t>
        </is>
      </c>
      <c r="C68" s="690" t="n"/>
      <c r="D68" s="690" t="n"/>
      <c r="E68" s="690" t="n"/>
      <c r="F68" s="690" t="n"/>
      <c r="G68" s="690" t="n"/>
      <c r="H68" s="690" t="n"/>
      <c r="I68" s="690" t="n"/>
      <c r="J68" s="690" t="n"/>
      <c r="K68" s="713" t="n"/>
      <c r="L68" s="713" t="n"/>
      <c r="M68" s="713" t="n"/>
    </row>
    <row r="69" hidden="1" outlineLevel="1" ht="14" customHeight="1" s="549">
      <c r="A69" s="714" t="n"/>
      <c r="B69" s="715" t="inlineStr">
        <is>
          <t>Combustible arriendo mensual</t>
        </is>
      </c>
      <c r="C69" s="716" t="n"/>
      <c r="D69" s="716" t="n"/>
      <c r="E69" s="716" t="n"/>
      <c r="F69" s="716" t="n"/>
      <c r="G69" s="716" t="n"/>
      <c r="H69" s="716" t="n"/>
      <c r="I69" s="716" t="n"/>
      <c r="J69" s="685" t="n"/>
      <c r="K69" s="717" t="n"/>
      <c r="L69" s="717" t="n"/>
      <c r="M69" s="717" t="n"/>
    </row>
    <row r="70" hidden="1" outlineLevel="1" ht="14" customHeight="1" s="549">
      <c r="A70" s="712" t="n"/>
      <c r="B70" s="704" t="inlineStr">
        <is>
          <t>Peajes</t>
        </is>
      </c>
      <c r="C70" s="690" t="n"/>
      <c r="D70" s="690" t="n"/>
      <c r="E70" s="690" t="n"/>
      <c r="F70" s="690" t="n"/>
      <c r="G70" s="690" t="n"/>
      <c r="H70" s="690" t="n"/>
      <c r="I70" s="690" t="n"/>
      <c r="J70" s="690" t="n"/>
      <c r="K70" s="713" t="n"/>
      <c r="L70" s="713" t="n"/>
      <c r="M70" s="713" t="n"/>
    </row>
    <row r="71" hidden="1" outlineLevel="1" ht="14" customHeight="1" s="549">
      <c r="A71" s="714" t="n"/>
      <c r="B71" s="715" t="inlineStr">
        <is>
          <t xml:space="preserve">Compras de Equipos, EEPP, Otros </t>
        </is>
      </c>
      <c r="C71" s="716" t="n"/>
      <c r="D71" s="716" t="n"/>
      <c r="E71" s="716" t="n"/>
      <c r="F71" s="716" t="n"/>
      <c r="G71" s="716" t="n"/>
      <c r="H71" s="716" t="n"/>
      <c r="I71" s="716" t="n"/>
      <c r="J71" s="685" t="n"/>
      <c r="K71" s="717" t="n"/>
      <c r="L71" s="717" t="n"/>
      <c r="M71" s="717" t="n"/>
    </row>
    <row r="72" hidden="1" outlineLevel="1" ht="14" customHeight="1" s="549">
      <c r="A72" s="712" t="n"/>
      <c r="B72" s="704" t="inlineStr">
        <is>
          <t>Mensajerias (Correo de Chile)</t>
        </is>
      </c>
      <c r="C72" s="690" t="n"/>
      <c r="D72" s="690" t="n"/>
      <c r="E72" s="690" t="n"/>
      <c r="F72" s="690" t="n"/>
      <c r="G72" s="690" t="n"/>
      <c r="H72" s="690" t="n"/>
      <c r="I72" s="690" t="n"/>
      <c r="J72" s="690" t="n"/>
      <c r="K72" s="713" t="n"/>
      <c r="L72" s="713" t="n"/>
      <c r="M72" s="713" t="n"/>
    </row>
    <row r="73" hidden="1" outlineLevel="1" ht="14" customHeight="1" s="549">
      <c r="A73" s="714" t="n"/>
      <c r="B73" s="715" t="inlineStr">
        <is>
          <t>Impresión de manuales</t>
        </is>
      </c>
      <c r="C73" s="716" t="n"/>
      <c r="D73" s="716" t="n"/>
      <c r="E73" s="716" t="n"/>
      <c r="F73" s="716" t="n"/>
      <c r="G73" s="716" t="n"/>
      <c r="H73" s="716" t="n"/>
      <c r="I73" s="716" t="n"/>
      <c r="J73" s="685" t="n"/>
      <c r="K73" s="717" t="n"/>
      <c r="L73" s="717" t="n"/>
      <c r="M73" s="717" t="n"/>
    </row>
    <row r="74" hidden="1" outlineLevel="1" ht="14" customHeight="1" s="549">
      <c r="A74" s="712" t="n"/>
      <c r="B74" s="704" t="inlineStr">
        <is>
          <t>Mantención y reparación de Vehículos</t>
        </is>
      </c>
      <c r="C74" s="690" t="n"/>
      <c r="D74" s="690" t="n"/>
      <c r="E74" s="690" t="n"/>
      <c r="F74" s="690" t="n"/>
      <c r="G74" s="690" t="n"/>
      <c r="H74" s="690" t="n"/>
      <c r="I74" s="690" t="n"/>
      <c r="J74" s="690" t="n"/>
      <c r="K74" s="713" t="n"/>
      <c r="L74" s="713" t="n"/>
      <c r="M74" s="713" t="n"/>
    </row>
    <row r="75" hidden="1" outlineLevel="1" ht="14" customHeight="1" s="549">
      <c r="A75" s="714" t="n"/>
      <c r="B75" s="715" t="inlineStr">
        <is>
          <t xml:space="preserve">Otros varios </t>
        </is>
      </c>
      <c r="C75" s="716" t="n"/>
      <c r="D75" s="716" t="n"/>
      <c r="E75" s="716" t="n"/>
      <c r="F75" s="716" t="n"/>
      <c r="G75" s="716" t="n"/>
      <c r="H75" s="716" t="n"/>
      <c r="I75" s="716" t="n"/>
      <c r="J75" s="685" t="n"/>
      <c r="K75" s="717" t="n"/>
      <c r="L75" s="717" t="n"/>
      <c r="M75" s="717" t="n"/>
    </row>
    <row r="76" hidden="1" outlineLevel="1" s="549">
      <c r="A76" s="483" t="n"/>
      <c r="B76" s="473" t="n"/>
      <c r="C76" s="718" t="n"/>
      <c r="D76" s="718" t="n"/>
      <c r="E76" s="718" t="n"/>
      <c r="F76" s="718" t="n"/>
      <c r="G76" s="718" t="n"/>
      <c r="H76" s="718" t="n"/>
      <c r="I76" s="718" t="n"/>
      <c r="J76" s="725" t="n"/>
      <c r="K76" s="461" t="n"/>
    </row>
    <row r="77" collapsed="1" ht="14" customHeight="1" s="549">
      <c r="A77" s="712" t="n">
        <v>5</v>
      </c>
      <c r="B77" s="689" t="inlineStr">
        <is>
          <t>Implementacion del un modelo de mantenimiento a 16 años</t>
        </is>
      </c>
      <c r="C77" s="690">
        <f>SUM(C78:C94)</f>
        <v/>
      </c>
      <c r="D77" s="690">
        <f>SUM(D78:D94)</f>
        <v/>
      </c>
      <c r="E77" s="690">
        <f>SUM(E78:E94)</f>
        <v/>
      </c>
      <c r="F77" s="690">
        <f>SUM(F78:F94)</f>
        <v/>
      </c>
      <c r="G77" s="690">
        <f>SUM(G78:G94)</f>
        <v/>
      </c>
      <c r="H77" s="690">
        <f>SUM(H78:H94)</f>
        <v/>
      </c>
      <c r="I77" s="690">
        <f>SUM(I78:I94)</f>
        <v/>
      </c>
      <c r="J77" s="690">
        <f>SUM(C77:I77)</f>
        <v/>
      </c>
      <c r="K77" s="713" t="inlineStr">
        <is>
          <t>RRCC</t>
        </is>
      </c>
      <c r="L77" s="713" t="n"/>
      <c r="M77" s="713" t="n"/>
    </row>
    <row r="78" outlineLevel="1" ht="14" customHeight="1" s="549">
      <c r="A78" s="714" t="n"/>
      <c r="B78" s="715" t="inlineStr">
        <is>
          <t>Planilla Actual</t>
        </is>
      </c>
      <c r="C78" s="716" t="n"/>
      <c r="D78" s="716" t="n"/>
      <c r="E78" s="716" t="n"/>
      <c r="F78" s="716" t="n">
        <v>1400000</v>
      </c>
      <c r="G78" s="716" t="n"/>
      <c r="H78" s="716" t="n"/>
      <c r="I78" s="716">
        <f>0.1*75*900000*(1+0.035)^8</f>
        <v/>
      </c>
      <c r="J78" s="685" t="n"/>
      <c r="K78" s="717" t="n"/>
      <c r="L78" s="717" t="n"/>
      <c r="M78" s="717" t="n"/>
    </row>
    <row r="79" outlineLevel="1" ht="14" customHeight="1" s="549">
      <c r="A79" s="712" t="n"/>
      <c r="B79" s="704" t="inlineStr">
        <is>
          <t>Descarga estructura</t>
        </is>
      </c>
      <c r="C79" s="690" t="n"/>
      <c r="D79" s="690" t="n"/>
      <c r="E79" s="690" t="n"/>
      <c r="F79" s="690">
        <f>(28500/3)*75*12*3</f>
        <v/>
      </c>
      <c r="G79" s="690" t="n"/>
      <c r="H79" s="690" t="n"/>
      <c r="I79" s="690" t="n"/>
      <c r="J79" s="690" t="n"/>
      <c r="K79" s="713" t="n"/>
      <c r="L79" s="713" t="n"/>
      <c r="M79" s="713" t="n"/>
    </row>
    <row r="80" outlineLevel="1" ht="14" customHeight="1" s="549">
      <c r="A80" s="714" t="n"/>
      <c r="B80" s="715" t="inlineStr">
        <is>
          <t>Encargado territorial RRHH</t>
        </is>
      </c>
      <c r="C80" s="716" t="n"/>
      <c r="D80" s="716" t="n"/>
      <c r="E80" s="716" t="n"/>
      <c r="F80" s="716" t="n"/>
      <c r="G80" s="716" t="n"/>
      <c r="H80" s="716" t="n"/>
      <c r="I80" s="716" t="n"/>
      <c r="J80" s="685" t="n"/>
      <c r="K80" s="717" t="n"/>
      <c r="L80" s="717" t="n"/>
      <c r="M80" s="717" t="n"/>
    </row>
    <row r="81" outlineLevel="1" ht="14" customHeight="1" s="549">
      <c r="A81" s="712" t="n"/>
      <c r="B81" s="704" t="inlineStr">
        <is>
          <t>Arriendo vehículo diario - RRCC</t>
        </is>
      </c>
      <c r="C81" s="690" t="n"/>
      <c r="D81" s="690" t="n"/>
      <c r="E81" s="690" t="n"/>
      <c r="F81" s="690" t="n"/>
      <c r="G81" s="690" t="n"/>
      <c r="H81" s="690" t="n"/>
      <c r="I81" s="690" t="n"/>
      <c r="J81" s="690" t="n"/>
      <c r="K81" s="713" t="n"/>
      <c r="L81" s="713" t="n"/>
      <c r="M81" s="713" t="n"/>
    </row>
    <row r="82" outlineLevel="1" ht="14" customHeight="1" s="549">
      <c r="A82" s="714" t="n"/>
      <c r="B82" s="715" t="inlineStr">
        <is>
          <t>Vehiculo RRCC</t>
        </is>
      </c>
      <c r="C82" s="716" t="n"/>
      <c r="D82" s="716" t="n"/>
      <c r="E82" s="716" t="n"/>
      <c r="F82" s="716" t="n"/>
      <c r="G82" s="716" t="n"/>
      <c r="H82" s="716" t="n"/>
      <c r="I82" s="716" t="n"/>
      <c r="J82" s="685" t="n"/>
      <c r="K82" s="717" t="n"/>
      <c r="L82" s="717" t="n"/>
      <c r="M82" s="717" t="n"/>
    </row>
    <row r="83" outlineLevel="1" ht="14" customHeight="1" s="549">
      <c r="A83" s="712" t="n"/>
      <c r="B83" s="704" t="inlineStr">
        <is>
          <t>Traslados de personal</t>
        </is>
      </c>
      <c r="C83" s="690" t="n"/>
      <c r="D83" s="690" t="n"/>
      <c r="E83" s="690" t="n"/>
      <c r="F83" s="690" t="n"/>
      <c r="G83" s="690" t="n"/>
      <c r="H83" s="690" t="n"/>
      <c r="I83" s="690" t="n"/>
      <c r="J83" s="690" t="n"/>
      <c r="K83" s="713" t="n"/>
      <c r="L83" s="713" t="n"/>
      <c r="M83" s="713" t="n"/>
    </row>
    <row r="84" outlineLevel="1" ht="14" customHeight="1" s="549">
      <c r="A84" s="714" t="n"/>
      <c r="B84" s="715" t="inlineStr">
        <is>
          <t>Alojamiento</t>
        </is>
      </c>
      <c r="C84" s="716" t="n"/>
      <c r="D84" s="716" t="n"/>
      <c r="E84" s="716" t="n"/>
      <c r="F84" s="716" t="n"/>
      <c r="G84" s="716" t="n"/>
      <c r="H84" s="716" t="n"/>
      <c r="I84" s="716" t="n"/>
      <c r="J84" s="685" t="n"/>
      <c r="K84" s="717" t="n"/>
      <c r="L84" s="717" t="n"/>
      <c r="M84" s="717" t="n"/>
    </row>
    <row r="85" outlineLevel="1" ht="14" customHeight="1" s="549">
      <c r="A85" s="712" t="n"/>
      <c r="B85" s="704" t="inlineStr">
        <is>
          <t>Alimentación</t>
        </is>
      </c>
      <c r="C85" s="690" t="n"/>
      <c r="D85" s="690" t="n"/>
      <c r="E85" s="690" t="n"/>
      <c r="F85" s="690" t="n"/>
      <c r="G85" s="690" t="n"/>
      <c r="H85" s="690" t="n"/>
      <c r="I85" s="690" t="n"/>
      <c r="J85" s="690" t="n"/>
      <c r="K85" s="713" t="n"/>
      <c r="L85" s="713" t="n"/>
      <c r="M85" s="713" t="n"/>
    </row>
    <row r="86" outlineLevel="1" ht="14" customHeight="1" s="549">
      <c r="A86" s="714" t="n"/>
      <c r="B86" s="715" t="inlineStr">
        <is>
          <t>Combustible arriendo diario</t>
        </is>
      </c>
      <c r="C86" s="716" t="n"/>
      <c r="D86" s="716" t="n"/>
      <c r="E86" s="716" t="n"/>
      <c r="F86" s="716" t="n"/>
      <c r="G86" s="716" t="n"/>
      <c r="H86" s="716" t="n"/>
      <c r="I86" s="716" t="n"/>
      <c r="J86" s="685" t="n"/>
      <c r="K86" s="717" t="n"/>
      <c r="L86" s="717" t="n"/>
      <c r="M86" s="717" t="n"/>
    </row>
    <row r="87" outlineLevel="1" ht="14" customHeight="1" s="549">
      <c r="A87" s="712" t="n"/>
      <c r="B87" s="704" t="inlineStr">
        <is>
          <t>Combustible arriendo mensual</t>
        </is>
      </c>
      <c r="C87" s="690" t="n"/>
      <c r="D87" s="690" t="n"/>
      <c r="E87" s="690" t="n"/>
      <c r="F87" s="690" t="n"/>
      <c r="G87" s="690" t="n"/>
      <c r="H87" s="690" t="n"/>
      <c r="I87" s="690" t="n"/>
      <c r="J87" s="690" t="n"/>
      <c r="K87" s="713" t="n"/>
      <c r="L87" s="713" t="n"/>
      <c r="M87" s="713" t="n"/>
    </row>
    <row r="88" outlineLevel="1" ht="14" customHeight="1" s="549">
      <c r="A88" s="714" t="n"/>
      <c r="B88" s="715" t="inlineStr">
        <is>
          <t>Peajes</t>
        </is>
      </c>
      <c r="C88" s="716" t="n"/>
      <c r="D88" s="716" t="n"/>
      <c r="E88" s="716" t="n"/>
      <c r="F88" s="716" t="n"/>
      <c r="G88" s="716" t="n"/>
      <c r="H88" s="716" t="n"/>
      <c r="I88" s="716" t="n"/>
      <c r="J88" s="685" t="n"/>
      <c r="K88" s="717" t="n"/>
      <c r="L88" s="717" t="n"/>
      <c r="M88" s="717" t="n"/>
    </row>
    <row r="89" outlineLevel="1" ht="14" customHeight="1" s="549">
      <c r="A89" s="712" t="n"/>
      <c r="B89" s="704" t="inlineStr">
        <is>
          <t xml:space="preserve">Compras de Equipos, EEPP, Otros </t>
        </is>
      </c>
      <c r="C89" s="690" t="n"/>
      <c r="D89" s="690" t="n"/>
      <c r="E89" s="690" t="n"/>
      <c r="F89" s="690" t="n"/>
      <c r="G89" s="690" t="n"/>
      <c r="H89" s="690" t="n"/>
      <c r="I89" s="690" t="n"/>
      <c r="J89" s="690" t="n"/>
      <c r="K89" s="713" t="n"/>
      <c r="L89" s="713" t="n"/>
      <c r="M89" s="713" t="n"/>
    </row>
    <row r="90" outlineLevel="1" ht="14" customHeight="1" s="549">
      <c r="A90" s="714" t="n"/>
      <c r="B90" s="715" t="inlineStr">
        <is>
          <t>Mensajerias (Correo de Chile)</t>
        </is>
      </c>
      <c r="C90" s="716" t="n"/>
      <c r="D90" s="716" t="n"/>
      <c r="E90" s="716" t="n"/>
      <c r="F90" s="716" t="n"/>
      <c r="G90" s="716" t="n"/>
      <c r="H90" s="716" t="n"/>
      <c r="I90" s="716" t="n"/>
      <c r="J90" s="685" t="n"/>
      <c r="K90" s="717" t="n"/>
      <c r="L90" s="717" t="n"/>
      <c r="M90" s="717" t="n"/>
    </row>
    <row r="91" outlineLevel="1" ht="14" customHeight="1" s="549">
      <c r="A91" s="712" t="n"/>
      <c r="B91" s="704" t="inlineStr">
        <is>
          <t>Impresión de manuales</t>
        </is>
      </c>
      <c r="C91" s="690" t="n"/>
      <c r="D91" s="690" t="n"/>
      <c r="E91" s="690" t="n"/>
      <c r="F91" s="690" t="n"/>
      <c r="G91" s="690" t="n"/>
      <c r="H91" s="690" t="n"/>
      <c r="I91" s="690" t="n"/>
      <c r="J91" s="690" t="n"/>
      <c r="K91" s="713" t="n"/>
      <c r="L91" s="713" t="n"/>
      <c r="M91" s="713" t="n"/>
    </row>
    <row r="92" outlineLevel="1" ht="14" customHeight="1" s="549">
      <c r="A92" s="714" t="n"/>
      <c r="B92" s="715" t="inlineStr">
        <is>
          <t>Mantención y reparación de Vehículos</t>
        </is>
      </c>
      <c r="C92" s="716" t="n"/>
      <c r="D92" s="716" t="n"/>
      <c r="E92" s="716" t="n"/>
      <c r="F92" s="716" t="n"/>
      <c r="G92" s="716" t="n"/>
      <c r="H92" s="716" t="n"/>
      <c r="I92" s="716" t="n"/>
      <c r="J92" s="685" t="n"/>
      <c r="K92" s="717" t="n"/>
      <c r="L92" s="717" t="n"/>
      <c r="M92" s="717" t="n"/>
    </row>
    <row r="93" outlineLevel="1" ht="14" customHeight="1" s="549">
      <c r="A93" s="712" t="n"/>
      <c r="B93" s="704" t="inlineStr">
        <is>
          <t xml:space="preserve">Otros varios </t>
        </is>
      </c>
      <c r="C93" s="690" t="n"/>
      <c r="D93" s="690" t="n"/>
      <c r="E93" s="690" t="n"/>
      <c r="F93" s="690" t="n"/>
      <c r="G93" s="690" t="n"/>
      <c r="H93" s="690" t="n"/>
      <c r="I93" s="690" t="n"/>
      <c r="J93" s="690" t="n"/>
      <c r="K93" s="713" t="n"/>
      <c r="L93" s="713" t="n"/>
      <c r="M93" s="713" t="n"/>
    </row>
    <row r="94" outlineLevel="1" s="549">
      <c r="A94" s="483" t="n"/>
      <c r="B94" s="473" t="n"/>
      <c r="C94" s="718" t="n"/>
      <c r="D94" s="718" t="n"/>
      <c r="E94" s="718" t="n"/>
      <c r="F94" s="718" t="n"/>
      <c r="G94" s="718" t="n"/>
      <c r="H94" s="718" t="n"/>
      <c r="I94" s="718" t="n"/>
      <c r="J94" s="725" t="n"/>
      <c r="K94" s="461" t="n"/>
    </row>
    <row r="95" outlineLevel="1" ht="14" customHeight="1" s="549">
      <c r="A95" s="720" t="n">
        <v>6</v>
      </c>
      <c r="B95" s="721" t="inlineStr">
        <is>
          <t>Compra</t>
        </is>
      </c>
      <c r="C95" s="722">
        <f>SUM(C96:C105)</f>
        <v/>
      </c>
      <c r="D95" s="722">
        <f>SUM(D96:D105)</f>
        <v/>
      </c>
      <c r="E95" s="722">
        <f>SUM(E96:E105)</f>
        <v/>
      </c>
      <c r="F95" s="722">
        <f>SUM(F96:F105)</f>
        <v/>
      </c>
      <c r="G95" s="722">
        <f>SUM(G96:G105)</f>
        <v/>
      </c>
      <c r="H95" s="722">
        <f>SUM(H96:H105)</f>
        <v/>
      </c>
      <c r="I95" s="722">
        <f>SUM(I96:I105)</f>
        <v/>
      </c>
      <c r="J95" s="685">
        <f>SUM(C95:I95)</f>
        <v/>
      </c>
      <c r="K95" s="717" t="n"/>
      <c r="L95" s="717" t="n"/>
      <c r="M95" s="717" t="n"/>
    </row>
    <row r="96" outlineLevel="1" ht="14" customHeight="1" s="549">
      <c r="A96" s="712" t="n"/>
      <c r="B96" s="704" t="inlineStr">
        <is>
          <t>Sistemas AC</t>
        </is>
      </c>
      <c r="C96" s="690">
        <f>+'Flujo Bruto'!O6</f>
        <v/>
      </c>
      <c r="D96" s="690">
        <f>+'Flujo Bruto'!P6</f>
        <v/>
      </c>
      <c r="E96" s="690">
        <f>+'Flujo Bruto'!Q6</f>
        <v/>
      </c>
      <c r="F96" s="690">
        <f>+'Flujo Bruto'!R6</f>
        <v/>
      </c>
      <c r="G96" s="690">
        <f>+'Flujo Bruto'!S6</f>
        <v/>
      </c>
      <c r="H96" s="690">
        <f>+'Flujo Bruto'!V6</f>
        <v/>
      </c>
      <c r="I96" s="690">
        <f>+'Flujo Bruto'!W6</f>
        <v/>
      </c>
      <c r="J96" s="690">
        <f>SUM(C96:I96)</f>
        <v/>
      </c>
      <c r="K96" s="713" t="n"/>
      <c r="L96" s="713" t="n"/>
      <c r="M96" s="713" t="n"/>
    </row>
    <row r="97" outlineLevel="1" ht="14" customHeight="1" s="549">
      <c r="A97" s="714" t="n"/>
      <c r="B97" s="715" t="inlineStr">
        <is>
          <t xml:space="preserve">Paneles </t>
        </is>
      </c>
      <c r="C97" s="716">
        <f>+'Flujo Bruto'!O7</f>
        <v/>
      </c>
      <c r="D97" s="716">
        <f>+'Flujo Bruto'!P7</f>
        <v/>
      </c>
      <c r="E97" s="716">
        <f>+'Flujo Bruto'!Q7</f>
        <v/>
      </c>
      <c r="F97" s="716">
        <f>+'Flujo Bruto'!R7</f>
        <v/>
      </c>
      <c r="G97" s="716">
        <f>+'Flujo Bruto'!S7</f>
        <v/>
      </c>
      <c r="H97" s="716">
        <f>+'Flujo Bruto'!V7</f>
        <v/>
      </c>
      <c r="I97" s="716">
        <f>+'Flujo Bruto'!W7</f>
        <v/>
      </c>
      <c r="J97" s="685">
        <f>SUM(C97:I97)</f>
        <v/>
      </c>
      <c r="K97" s="717" t="n"/>
      <c r="L97" s="717" t="n"/>
      <c r="M97" s="717" t="n"/>
    </row>
    <row r="98" outlineLevel="1" ht="14" customHeight="1" s="549">
      <c r="A98" s="712" t="n"/>
      <c r="B98" s="704" t="inlineStr">
        <is>
          <t>Lamparas</t>
        </is>
      </c>
      <c r="C98" s="690">
        <f>+'Flujo Bruto'!O8</f>
        <v/>
      </c>
      <c r="D98" s="690">
        <f>+'Flujo Bruto'!P8</f>
        <v/>
      </c>
      <c r="E98" s="690">
        <f>+'Flujo Bruto'!Q8</f>
        <v/>
      </c>
      <c r="F98" s="690">
        <f>+'Flujo Bruto'!R8</f>
        <v/>
      </c>
      <c r="G98" s="690">
        <f>+'Flujo Bruto'!S8</f>
        <v/>
      </c>
      <c r="H98" s="690">
        <f>+'Flujo Bruto'!V8</f>
        <v/>
      </c>
      <c r="I98" s="690">
        <f>+'Flujo Bruto'!W8</f>
        <v/>
      </c>
      <c r="J98" s="690">
        <f>SUM(C98:I98)</f>
        <v/>
      </c>
      <c r="K98" s="713" t="n"/>
      <c r="L98" s="713" t="n"/>
      <c r="M98" s="713" t="n"/>
    </row>
    <row r="99" outlineLevel="1" ht="14" customHeight="1" s="549">
      <c r="A99" s="714" t="n"/>
      <c r="B99" s="715" t="inlineStr">
        <is>
          <t>Hardware Monitoreo</t>
        </is>
      </c>
      <c r="C99" s="716">
        <f>+'Flujo Bruto'!O9</f>
        <v/>
      </c>
      <c r="D99" s="716">
        <f>+'Flujo Bruto'!P9</f>
        <v/>
      </c>
      <c r="E99" s="716">
        <f>+'Flujo Bruto'!Q9</f>
        <v/>
      </c>
      <c r="F99" s="716">
        <f>+'Flujo Bruto'!R9</f>
        <v/>
      </c>
      <c r="G99" s="716">
        <f>+'Flujo Bruto'!S9</f>
        <v/>
      </c>
      <c r="H99" s="716">
        <f>+'Flujo Bruto'!V9</f>
        <v/>
      </c>
      <c r="I99" s="716">
        <f>+'Flujo Bruto'!W9</f>
        <v/>
      </c>
      <c r="J99" s="685">
        <f>SUM(C99:I99)</f>
        <v/>
      </c>
      <c r="K99" s="717" t="n"/>
      <c r="L99" s="717" t="n"/>
      <c r="M99" s="717" t="n"/>
    </row>
    <row r="100" outlineLevel="1" ht="14" customHeight="1" s="549">
      <c r="A100" s="712" t="n"/>
      <c r="B100" s="704" t="inlineStr">
        <is>
          <t>Software Monitoreo</t>
        </is>
      </c>
      <c r="C100" s="690">
        <f>+'Flujo Bruto'!O10</f>
        <v/>
      </c>
      <c r="D100" s="690">
        <f>+'Flujo Bruto'!P10</f>
        <v/>
      </c>
      <c r="E100" s="690">
        <f>+'Flujo Bruto'!Q10</f>
        <v/>
      </c>
      <c r="F100" s="690">
        <f>+'Flujo Bruto'!R10</f>
        <v/>
      </c>
      <c r="G100" s="690">
        <f>+'Flujo Bruto'!S10</f>
        <v/>
      </c>
      <c r="H100" s="690">
        <f>+'Flujo Bruto'!V10</f>
        <v/>
      </c>
      <c r="I100" s="690">
        <f>+'Flujo Bruto'!W10</f>
        <v/>
      </c>
      <c r="J100" s="690">
        <f>SUM(C100:I100)</f>
        <v/>
      </c>
      <c r="K100" s="713" t="n"/>
      <c r="L100" s="713" t="n"/>
      <c r="M100" s="713" t="n"/>
    </row>
    <row r="101"/>
    <row r="102" outlineLevel="1" ht="14" customHeight="1" s="549">
      <c r="A102" s="714" t="n"/>
      <c r="B102" s="715" t="inlineStr">
        <is>
          <t>Flete</t>
        </is>
      </c>
      <c r="C102" s="716">
        <f>+'Flujo Bruto'!O12</f>
        <v/>
      </c>
      <c r="D102" s="716">
        <f>+'Flujo Bruto'!P12</f>
        <v/>
      </c>
      <c r="E102" s="716">
        <f>+'Flujo Bruto'!Q12</f>
        <v/>
      </c>
      <c r="F102" s="716">
        <f>+'Flujo Bruto'!R12</f>
        <v/>
      </c>
      <c r="G102" s="716">
        <f>+'Flujo Bruto'!S12</f>
        <v/>
      </c>
      <c r="H102" s="716">
        <f>+'Flujo Bruto'!V12</f>
        <v/>
      </c>
      <c r="I102" s="716">
        <f>+'Flujo Bruto'!W12</f>
        <v/>
      </c>
      <c r="J102" s="685">
        <f>SUM(C102:I102)</f>
        <v/>
      </c>
      <c r="K102" s="717" t="n"/>
      <c r="L102" s="717" t="n"/>
      <c r="M102" s="717" t="n"/>
    </row>
    <row r="103" outlineLevel="1" ht="14" customHeight="1" s="549">
      <c r="A103" s="712" t="n"/>
      <c r="B103" s="704" t="inlineStr">
        <is>
          <t>Transporte DESCONSOLIDADO</t>
        </is>
      </c>
      <c r="C103" s="690">
        <f>+'Flujo Bruto'!O13</f>
        <v/>
      </c>
      <c r="D103" s="690">
        <f>+'Flujo Bruto'!P13</f>
        <v/>
      </c>
      <c r="E103" s="690">
        <f>+'Flujo Bruto'!Q13</f>
        <v/>
      </c>
      <c r="F103" s="690">
        <f>+'Flujo Bruto'!R13</f>
        <v/>
      </c>
      <c r="G103" s="690">
        <f>+'Flujo Bruto'!S13</f>
        <v/>
      </c>
      <c r="H103" s="690">
        <f>+'Flujo Bruto'!V13</f>
        <v/>
      </c>
      <c r="I103" s="690">
        <f>+'Flujo Bruto'!W13</f>
        <v/>
      </c>
      <c r="J103" s="690">
        <f>SUM(C103:I103)</f>
        <v/>
      </c>
      <c r="K103" s="713" t="n"/>
      <c r="L103" s="713" t="n"/>
      <c r="M103" s="713" t="n"/>
    </row>
    <row r="104" outlineLevel="1" ht="14" customHeight="1" s="549">
      <c r="A104" s="714" t="n"/>
      <c r="B104" s="715" t="inlineStr">
        <is>
          <t>Grúa en Origen</t>
        </is>
      </c>
      <c r="C104" s="716">
        <f>+'Flujo Bruto'!O14</f>
        <v/>
      </c>
      <c r="D104" s="716">
        <f>+'Flujo Bruto'!P14</f>
        <v/>
      </c>
      <c r="E104" s="716">
        <f>+'Flujo Bruto'!Q14</f>
        <v/>
      </c>
      <c r="F104" s="716">
        <f>+'Flujo Bruto'!R14</f>
        <v/>
      </c>
      <c r="G104" s="716">
        <f>+'Flujo Bruto'!S14</f>
        <v/>
      </c>
      <c r="H104" s="716">
        <f>+'Flujo Bruto'!V14</f>
        <v/>
      </c>
      <c r="I104" s="716">
        <f>+'Flujo Bruto'!W14</f>
        <v/>
      </c>
      <c r="J104" s="685">
        <f>SUM(C104:I104)</f>
        <v/>
      </c>
      <c r="K104" s="717" t="n"/>
      <c r="L104" s="717" t="n"/>
      <c r="M104" s="717" t="n"/>
    </row>
    <row r="105" outlineLevel="1" ht="14" customHeight="1" s="549">
      <c r="A105" s="712" t="n"/>
      <c r="B105" s="704" t="inlineStr">
        <is>
          <t>Grúa en Punto Destino (6 Horas)</t>
        </is>
      </c>
      <c r="C105" s="690">
        <f>+'Flujo Bruto'!O15</f>
        <v/>
      </c>
      <c r="D105" s="690">
        <f>+'Flujo Bruto'!P15</f>
        <v/>
      </c>
      <c r="E105" s="690">
        <f>+'Flujo Bruto'!Q15</f>
        <v/>
      </c>
      <c r="F105" s="690">
        <f>+'Flujo Bruto'!R15</f>
        <v/>
      </c>
      <c r="G105" s="690">
        <f>+'Flujo Bruto'!S15</f>
        <v/>
      </c>
      <c r="H105" s="690">
        <f>+'Flujo Bruto'!V15</f>
        <v/>
      </c>
      <c r="I105" s="690">
        <f>+'Flujo Bruto'!W15</f>
        <v/>
      </c>
      <c r="J105" s="690">
        <f>SUM(C105:I105)</f>
        <v/>
      </c>
      <c r="K105" s="713" t="n"/>
      <c r="L105" s="713" t="n"/>
      <c r="M105" s="713" t="n"/>
    </row>
    <row r="106" outlineLevel="1" s="549">
      <c r="A106" s="482" t="n"/>
      <c r="B106" s="473" t="n"/>
      <c r="C106" s="718" t="n"/>
      <c r="D106" s="718" t="n"/>
      <c r="E106" s="718" t="n"/>
      <c r="F106" s="718" t="n"/>
      <c r="G106" s="718" t="n"/>
      <c r="H106" s="718" t="n"/>
      <c r="I106" s="718" t="n"/>
      <c r="J106" s="719" t="n"/>
      <c r="K106" s="461" t="n"/>
      <c r="L106" s="461" t="n"/>
    </row>
    <row r="107" ht="14" customHeight="1" s="549">
      <c r="A107" s="720" t="n">
        <v>6</v>
      </c>
      <c r="B107" s="721" t="inlineStr">
        <is>
          <t xml:space="preserve">Instalación </t>
        </is>
      </c>
      <c r="C107" s="722">
        <f>SUM(C108:C130)</f>
        <v/>
      </c>
      <c r="D107" s="722">
        <f>SUM(D111:D130)</f>
        <v/>
      </c>
      <c r="E107" s="722">
        <f>SUM(E111:E130)</f>
        <v/>
      </c>
      <c r="F107" s="722">
        <f>SUM(F111:F130)</f>
        <v/>
      </c>
      <c r="G107" s="722">
        <f>SUM(G111:G130)</f>
        <v/>
      </c>
      <c r="H107" s="722">
        <f>SUM(H111:H130)</f>
        <v/>
      </c>
      <c r="I107" s="722">
        <f>SUM(I111:I130)</f>
        <v/>
      </c>
      <c r="J107" s="685">
        <f>SUM(C107:I107)</f>
        <v/>
      </c>
      <c r="K107" s="717" t="inlineStr">
        <is>
          <t>Técnico</t>
        </is>
      </c>
      <c r="L107" s="717" t="inlineStr">
        <is>
          <t>Desagregar 1 para que cuadre con el 50%</t>
        </is>
      </c>
      <c r="M107" s="717" t="n"/>
    </row>
    <row r="108" outlineLevel="1" ht="14" customHeight="1" s="549">
      <c r="A108" s="712" t="n"/>
      <c r="B108" s="704" t="inlineStr">
        <is>
          <t>Planilla Actual</t>
        </is>
      </c>
      <c r="C108" s="690" t="n"/>
      <c r="D108" s="690" t="n"/>
      <c r="E108" s="690" t="n"/>
      <c r="F108" s="690" t="n"/>
      <c r="G108" s="690" t="n"/>
      <c r="H108" s="690" t="n"/>
      <c r="I108" s="690" t="n"/>
      <c r="J108" s="690" t="n"/>
      <c r="K108" s="713" t="n"/>
      <c r="L108" s="713" t="n"/>
      <c r="M108" s="713" t="n"/>
    </row>
    <row r="109" outlineLevel="1" ht="14" customHeight="1" s="549">
      <c r="A109" s="714" t="n"/>
      <c r="B109" s="715" t="inlineStr">
        <is>
          <t>Descarga estructura</t>
        </is>
      </c>
      <c r="C109" s="716" t="n"/>
      <c r="D109" s="716" t="n"/>
      <c r="E109" s="716" t="n"/>
      <c r="F109" s="716" t="n"/>
      <c r="G109" s="716" t="n"/>
      <c r="H109" s="716" t="n"/>
      <c r="I109" s="716" t="n"/>
      <c r="J109" s="685" t="n"/>
      <c r="K109" s="717" t="n"/>
      <c r="L109" s="717" t="n"/>
      <c r="M109" s="717" t="n"/>
    </row>
    <row r="110" outlineLevel="1" ht="14" customHeight="1" s="549">
      <c r="A110" s="712" t="n"/>
      <c r="B110" s="704" t="inlineStr">
        <is>
          <t>Repuestos</t>
        </is>
      </c>
      <c r="C110" s="690">
        <f>+'Flujo Bruto'!O11</f>
        <v/>
      </c>
      <c r="D110" s="690">
        <f>+'Flujo Bruto'!P11</f>
        <v/>
      </c>
      <c r="E110" s="690">
        <f>+'Flujo Bruto'!Q11</f>
        <v/>
      </c>
      <c r="F110" s="690">
        <f>+'Flujo Bruto'!R11</f>
        <v/>
      </c>
      <c r="G110" s="690">
        <f>+'Flujo Bruto'!S11</f>
        <v/>
      </c>
      <c r="H110" s="690">
        <f>+'Flujo Bruto'!V11</f>
        <v/>
      </c>
      <c r="I110" s="690">
        <f>+'Flujo Bruto'!W11</f>
        <v/>
      </c>
      <c r="J110" s="690">
        <f>SUM(C110:I110)</f>
        <v/>
      </c>
      <c r="K110" s="713" t="n"/>
      <c r="L110" s="713" t="n"/>
      <c r="M110" s="713" t="n"/>
    </row>
    <row r="111" outlineLevel="1" ht="14" customHeight="1" s="549">
      <c r="A111" s="714" t="n"/>
      <c r="B111" s="715" t="inlineStr">
        <is>
          <t>Estructura</t>
        </is>
      </c>
      <c r="C111" s="716">
        <f>+'Flujo Bruto'!O17</f>
        <v/>
      </c>
      <c r="D111" s="716">
        <f>+'Flujo Bruto'!P17</f>
        <v/>
      </c>
      <c r="E111" s="716">
        <f>+'Flujo Bruto'!Q17</f>
        <v/>
      </c>
      <c r="F111" s="716">
        <f>+'Flujo Bruto'!R17</f>
        <v/>
      </c>
      <c r="G111" s="716">
        <f>+'Flujo Bruto'!S17</f>
        <v/>
      </c>
      <c r="H111" s="716">
        <f>+'Flujo Bruto'!V17</f>
        <v/>
      </c>
      <c r="I111" s="716">
        <f>+'Flujo Bruto'!W17</f>
        <v/>
      </c>
      <c r="J111" s="685">
        <f>SUM(C111:I111)</f>
        <v/>
      </c>
      <c r="K111" s="717" t="n"/>
      <c r="L111" s="717" t="n"/>
      <c r="M111" s="717" t="n"/>
    </row>
    <row r="112" outlineLevel="1" ht="14" customHeight="1" s="549">
      <c r="A112" s="712" t="n"/>
      <c r="B112" s="704" t="inlineStr">
        <is>
          <t>Materiales instalación</t>
        </is>
      </c>
      <c r="C112" s="690">
        <f>+'Flujo Bruto'!O18</f>
        <v/>
      </c>
      <c r="D112" s="690">
        <f>+'Flujo Bruto'!P18</f>
        <v/>
      </c>
      <c r="E112" s="690">
        <f>+'Flujo Bruto'!Q18</f>
        <v/>
      </c>
      <c r="F112" s="690">
        <f>+'Flujo Bruto'!R18</f>
        <v/>
      </c>
      <c r="G112" s="690">
        <f>+'Flujo Bruto'!S18</f>
        <v/>
      </c>
      <c r="H112" s="690">
        <f>+'Flujo Bruto'!V18</f>
        <v/>
      </c>
      <c r="I112" s="690">
        <f>+'Flujo Bruto'!W18</f>
        <v/>
      </c>
      <c r="J112" s="690">
        <f>SUM(C112:I112)</f>
        <v/>
      </c>
      <c r="K112" s="713" t="n"/>
      <c r="L112" s="713" t="n"/>
      <c r="M112" s="713" t="n"/>
    </row>
    <row r="113" outlineLevel="1" ht="14" customHeight="1" s="549">
      <c r="A113" s="714" t="n"/>
      <c r="B113" s="715" t="inlineStr">
        <is>
          <t>Herramientas</t>
        </is>
      </c>
      <c r="C113" s="716">
        <f>+'Flujo Bruto'!O19</f>
        <v/>
      </c>
      <c r="D113" s="716">
        <f>+'Flujo Bruto'!P19</f>
        <v/>
      </c>
      <c r="E113" s="716">
        <f>+'Flujo Bruto'!Q19</f>
        <v/>
      </c>
      <c r="F113" s="716">
        <f>+'Flujo Bruto'!R19</f>
        <v/>
      </c>
      <c r="G113" s="716">
        <f>+'Flujo Bruto'!S19</f>
        <v/>
      </c>
      <c r="H113" s="716">
        <f>+'Flujo Bruto'!V19</f>
        <v/>
      </c>
      <c r="I113" s="716">
        <f>+'Flujo Bruto'!W19</f>
        <v/>
      </c>
      <c r="J113" s="685">
        <f>SUM(C113:I113)</f>
        <v/>
      </c>
      <c r="K113" s="717" t="n"/>
      <c r="L113" s="717" t="n"/>
      <c r="M113" s="717" t="n"/>
    </row>
    <row r="114" outlineLevel="1" ht="14" customHeight="1" s="549">
      <c r="A114" s="712" t="n"/>
      <c r="B114" s="704" t="inlineStr">
        <is>
          <t>Encargado de Logistica y Bodega</t>
        </is>
      </c>
      <c r="C114" s="690">
        <f>+'Flujo Bruto'!O24</f>
        <v/>
      </c>
      <c r="D114" s="690">
        <f>+'Flujo Bruto'!P24</f>
        <v/>
      </c>
      <c r="E114" s="690">
        <f>+'Flujo Bruto'!Q24</f>
        <v/>
      </c>
      <c r="F114" s="690">
        <f>+'Flujo Bruto'!R24</f>
        <v/>
      </c>
      <c r="G114" s="690">
        <f>+'Flujo Bruto'!S24</f>
        <v/>
      </c>
      <c r="H114" s="690">
        <f>+'Flujo Bruto'!V24</f>
        <v/>
      </c>
      <c r="I114" s="690">
        <f>+'Flujo Bruto'!W24</f>
        <v/>
      </c>
      <c r="J114" s="690">
        <f>SUM(C114:I114)</f>
        <v/>
      </c>
      <c r="K114" s="713" t="n"/>
      <c r="L114" s="713" t="n"/>
      <c r="M114" s="713" t="n"/>
    </row>
    <row r="115" outlineLevel="1" ht="14" customHeight="1" s="549">
      <c r="A115" s="714" t="n"/>
      <c r="B115" s="715" t="inlineStr">
        <is>
          <t>Técnico pago por instalación - Plan A</t>
        </is>
      </c>
      <c r="C115" s="716">
        <f>+'Flujo Bruto'!O25</f>
        <v/>
      </c>
      <c r="D115" s="716">
        <f>+'Flujo Bruto'!P25</f>
        <v/>
      </c>
      <c r="E115" s="716">
        <f>+'Flujo Bruto'!Q25</f>
        <v/>
      </c>
      <c r="F115" s="716">
        <f>+'Flujo Bruto'!R25</f>
        <v/>
      </c>
      <c r="G115" s="716">
        <f>+'Flujo Bruto'!S25</f>
        <v/>
      </c>
      <c r="H115" s="716">
        <f>+'Flujo Bruto'!V25</f>
        <v/>
      </c>
      <c r="I115" s="716">
        <f>+'Flujo Bruto'!W25</f>
        <v/>
      </c>
      <c r="J115" s="685">
        <f>SUM(C115:I115)</f>
        <v/>
      </c>
      <c r="K115" s="717" t="n"/>
      <c r="L115" s="717" t="n"/>
      <c r="M115" s="717" t="n"/>
    </row>
    <row r="116" outlineLevel="1" ht="14" customHeight="1" s="549">
      <c r="A116" s="712" t="n"/>
      <c r="B116" s="704" t="inlineStr">
        <is>
          <t>Técnico contrato mensual - Plan B</t>
        </is>
      </c>
      <c r="C116" s="690">
        <f>+'Flujo Bruto'!O26</f>
        <v/>
      </c>
      <c r="D116" s="690">
        <f>+'Flujo Bruto'!P26</f>
        <v/>
      </c>
      <c r="E116" s="690">
        <f>+'Flujo Bruto'!Q26</f>
        <v/>
      </c>
      <c r="F116" s="690">
        <f>+'Flujo Bruto'!R26</f>
        <v/>
      </c>
      <c r="G116" s="690">
        <f>+'Flujo Bruto'!S26</f>
        <v/>
      </c>
      <c r="H116" s="690">
        <f>+'Flujo Bruto'!V26</f>
        <v/>
      </c>
      <c r="I116" s="690">
        <f>+'Flujo Bruto'!W26</f>
        <v/>
      </c>
      <c r="J116" s="690">
        <f>SUM(C116:I116)</f>
        <v/>
      </c>
      <c r="K116" s="713" t="n"/>
      <c r="L116" s="713" t="n"/>
      <c r="M116" s="713" t="n"/>
    </row>
    <row r="117" outlineLevel="1" ht="14" customHeight="1" s="549">
      <c r="A117" s="714" t="n"/>
      <c r="B117" s="715" t="inlineStr">
        <is>
          <t>Ayudante contrato mensual - Plan B</t>
        </is>
      </c>
      <c r="C117" s="716">
        <f>+'Flujo Bruto'!O27</f>
        <v/>
      </c>
      <c r="D117" s="716">
        <f>+'Flujo Bruto'!P27</f>
        <v/>
      </c>
      <c r="E117" s="716">
        <f>+'Flujo Bruto'!Q27</f>
        <v/>
      </c>
      <c r="F117" s="716">
        <f>+'Flujo Bruto'!R27</f>
        <v/>
      </c>
      <c r="G117" s="716">
        <f>+'Flujo Bruto'!S27</f>
        <v/>
      </c>
      <c r="H117" s="716">
        <f>+'Flujo Bruto'!V27</f>
        <v/>
      </c>
      <c r="I117" s="716">
        <f>+'Flujo Bruto'!W27</f>
        <v/>
      </c>
      <c r="J117" s="685">
        <f>SUM(C117:I117)</f>
        <v/>
      </c>
      <c r="K117" s="717" t="n"/>
      <c r="L117" s="717" t="n"/>
      <c r="M117" s="717" t="n"/>
    </row>
    <row r="118" outlineLevel="1" ht="14" customHeight="1" s="549">
      <c r="A118" s="712" t="n"/>
      <c r="B118" s="704" t="inlineStr">
        <is>
          <t>Personal apoyo Planos TE1</t>
        </is>
      </c>
      <c r="C118" s="690">
        <f>+'Flujo Bruto'!O28</f>
        <v/>
      </c>
      <c r="D118" s="690">
        <f>+'Flujo Bruto'!P28</f>
        <v/>
      </c>
      <c r="E118" s="690">
        <f>+'Flujo Bruto'!Q28</f>
        <v/>
      </c>
      <c r="F118" s="690">
        <f>+'Flujo Bruto'!R28</f>
        <v/>
      </c>
      <c r="G118" s="690">
        <f>+'Flujo Bruto'!S28</f>
        <v/>
      </c>
      <c r="H118" s="690">
        <f>+'Flujo Bruto'!V28</f>
        <v/>
      </c>
      <c r="I118" s="690">
        <f>+'Flujo Bruto'!W28</f>
        <v/>
      </c>
      <c r="J118" s="690">
        <f>SUM(C118:I118)</f>
        <v/>
      </c>
      <c r="K118" s="713" t="n"/>
      <c r="L118" s="713" t="n"/>
      <c r="M118" s="713" t="n"/>
    </row>
    <row r="119" outlineLevel="1" ht="14" customHeight="1" s="549">
      <c r="A119" s="714" t="n"/>
      <c r="B119" s="715" t="inlineStr">
        <is>
          <t>Apoyo Financiero de proyecto</t>
        </is>
      </c>
      <c r="C119" s="716">
        <f>+'Flujo Bruto'!O30</f>
        <v/>
      </c>
      <c r="D119" s="716">
        <f>+'Flujo Bruto'!P30</f>
        <v/>
      </c>
      <c r="E119" s="716">
        <f>+'Flujo Bruto'!Q30</f>
        <v/>
      </c>
      <c r="F119" s="716">
        <f>+'Flujo Bruto'!R30</f>
        <v/>
      </c>
      <c r="G119" s="716">
        <f>+'Flujo Bruto'!S30</f>
        <v/>
      </c>
      <c r="H119" s="716">
        <f>+'Flujo Bruto'!V30</f>
        <v/>
      </c>
      <c r="I119" s="716">
        <f>+'Flujo Bruto'!W30</f>
        <v/>
      </c>
      <c r="J119" s="685">
        <f>SUM(C119:I119)</f>
        <v/>
      </c>
      <c r="K119" s="717" t="n"/>
      <c r="L119" s="717" t="n"/>
      <c r="M119" s="717" t="n"/>
    </row>
    <row r="120" outlineLevel="1" ht="14" customHeight="1" s="549">
      <c r="A120" s="712" t="n"/>
      <c r="B120" s="704" t="inlineStr">
        <is>
          <t>Bodega Terreno</t>
        </is>
      </c>
      <c r="C120" s="690">
        <f>+'Flujo Bruto'!O37</f>
        <v/>
      </c>
      <c r="D120" s="690">
        <f>+'Flujo Bruto'!P37</f>
        <v/>
      </c>
      <c r="E120" s="690">
        <f>+'Flujo Bruto'!Q37</f>
        <v/>
      </c>
      <c r="F120" s="690">
        <f>+'Flujo Bruto'!R37</f>
        <v/>
      </c>
      <c r="G120" s="690">
        <f>+'Flujo Bruto'!S37</f>
        <v/>
      </c>
      <c r="H120" s="690">
        <f>+'Flujo Bruto'!V37</f>
        <v/>
      </c>
      <c r="I120" s="690">
        <f>+'Flujo Bruto'!W37</f>
        <v/>
      </c>
      <c r="J120" s="690">
        <f>SUM(C120:I120)</f>
        <v/>
      </c>
      <c r="K120" s="713" t="n"/>
      <c r="L120" s="713" t="n"/>
      <c r="M120" s="713" t="n"/>
    </row>
    <row r="121" outlineLevel="1" ht="14" customHeight="1" s="549">
      <c r="A121" s="714" t="n"/>
      <c r="B121" s="715" t="inlineStr">
        <is>
          <t>Arriendo vehículo diario - Área Técnica</t>
        </is>
      </c>
      <c r="C121" s="716">
        <f>+'Flujo Bruto'!O38</f>
        <v/>
      </c>
      <c r="D121" s="716">
        <f>+'Flujo Bruto'!P38</f>
        <v/>
      </c>
      <c r="E121" s="716">
        <f>+'Flujo Bruto'!Q38</f>
        <v/>
      </c>
      <c r="F121" s="716">
        <f>+'Flujo Bruto'!R38</f>
        <v/>
      </c>
      <c r="G121" s="716">
        <f>+'Flujo Bruto'!S38</f>
        <v/>
      </c>
      <c r="H121" s="716">
        <f>+'Flujo Bruto'!V38</f>
        <v/>
      </c>
      <c r="I121" s="716">
        <f>+'Flujo Bruto'!W38</f>
        <v/>
      </c>
      <c r="J121" s="685">
        <f>SUM(C121:I121)</f>
        <v/>
      </c>
      <c r="K121" s="717" t="n"/>
      <c r="L121" s="717" t="n"/>
      <c r="M121" s="717" t="n"/>
    </row>
    <row r="122" outlineLevel="1" ht="14" customHeight="1" s="549">
      <c r="A122" s="712" t="n"/>
      <c r="B122" s="704" t="inlineStr">
        <is>
          <t>Vehiculo Instaladores</t>
        </is>
      </c>
      <c r="C122" s="690">
        <f>+'Flujo Bruto'!O39</f>
        <v/>
      </c>
      <c r="D122" s="690">
        <f>+'Flujo Bruto'!P39</f>
        <v/>
      </c>
      <c r="E122" s="690">
        <f>+'Flujo Bruto'!Q39</f>
        <v/>
      </c>
      <c r="F122" s="690">
        <f>+'Flujo Bruto'!R39</f>
        <v/>
      </c>
      <c r="G122" s="690">
        <f>+'Flujo Bruto'!S39</f>
        <v/>
      </c>
      <c r="H122" s="690">
        <f>+'Flujo Bruto'!V39</f>
        <v/>
      </c>
      <c r="I122" s="690">
        <f>+'Flujo Bruto'!W39</f>
        <v/>
      </c>
      <c r="J122" s="690">
        <f>SUM(C122:I122)</f>
        <v/>
      </c>
      <c r="K122" s="713" t="n"/>
      <c r="L122" s="713" t="n"/>
      <c r="M122" s="713" t="n"/>
    </row>
    <row r="123" outlineLevel="1" ht="14" customHeight="1" s="549">
      <c r="A123" s="714" t="n"/>
      <c r="B123" s="715" t="inlineStr">
        <is>
          <t>Vehiculo Transporte (Maxus Deliver 9)</t>
        </is>
      </c>
      <c r="C123" s="716">
        <f>+'Flujo Bruto'!O40</f>
        <v/>
      </c>
      <c r="D123" s="716">
        <f>+'Flujo Bruto'!P40</f>
        <v/>
      </c>
      <c r="E123" s="716">
        <f>+'Flujo Bruto'!Q40</f>
        <v/>
      </c>
      <c r="F123" s="716">
        <f>+'Flujo Bruto'!R40</f>
        <v/>
      </c>
      <c r="G123" s="716">
        <f>+'Flujo Bruto'!S40</f>
        <v/>
      </c>
      <c r="H123" s="716">
        <f>+'Flujo Bruto'!V40</f>
        <v/>
      </c>
      <c r="I123" s="716">
        <f>+'Flujo Bruto'!W40</f>
        <v/>
      </c>
      <c r="J123" s="685">
        <f>SUM(C123:I123)</f>
        <v/>
      </c>
      <c r="K123" s="717" t="n"/>
      <c r="L123" s="717" t="n"/>
      <c r="M123" s="717" t="n"/>
    </row>
    <row r="124" outlineLevel="1" ht="14" customHeight="1" s="549">
      <c r="A124" s="712" t="n"/>
      <c r="B124" s="704" t="inlineStr">
        <is>
          <t>Transporte ZIMPERTEC</t>
        </is>
      </c>
      <c r="C124" s="690">
        <f>+'Flujo Bruto'!O42</f>
        <v/>
      </c>
      <c r="D124" s="690">
        <f>+'Flujo Bruto'!P42</f>
        <v/>
      </c>
      <c r="E124" s="690">
        <f>+'Flujo Bruto'!Q42</f>
        <v/>
      </c>
      <c r="F124" s="690">
        <f>+'Flujo Bruto'!R42</f>
        <v/>
      </c>
      <c r="G124" s="690">
        <f>+'Flujo Bruto'!S42</f>
        <v/>
      </c>
      <c r="H124" s="690">
        <f>+'Flujo Bruto'!V42</f>
        <v/>
      </c>
      <c r="I124" s="690">
        <f>+'Flujo Bruto'!W42</f>
        <v/>
      </c>
      <c r="J124" s="690">
        <f>SUM(C124:I124)</f>
        <v/>
      </c>
      <c r="K124" s="713" t="n"/>
      <c r="L124" s="713" t="n"/>
      <c r="M124" s="713" t="n"/>
    </row>
    <row r="125" outlineLevel="1" ht="14" customHeight="1" s="549">
      <c r="A125" s="714" t="n"/>
      <c r="B125" s="715" t="n"/>
      <c r="C125" s="716">
        <f>+'Flujo Bruto'!O43</f>
        <v/>
      </c>
      <c r="D125" s="716">
        <f>+'Flujo Bruto'!P43</f>
        <v/>
      </c>
      <c r="E125" s="716">
        <f>+'Flujo Bruto'!Q43</f>
        <v/>
      </c>
      <c r="F125" s="716">
        <f>+'Flujo Bruto'!R43</f>
        <v/>
      </c>
      <c r="G125" s="716">
        <f>+'Flujo Bruto'!S43</f>
        <v/>
      </c>
      <c r="H125" s="716">
        <f>+'Flujo Bruto'!V43</f>
        <v/>
      </c>
      <c r="I125" s="716">
        <f>+'Flujo Bruto'!W43</f>
        <v/>
      </c>
      <c r="J125" s="685">
        <f>SUM(C125:I125)</f>
        <v/>
      </c>
      <c r="K125" s="717" t="n"/>
      <c r="L125" s="717" t="n"/>
      <c r="M125" s="717" t="n"/>
    </row>
    <row r="126" outlineLevel="1" ht="14" customHeight="1" s="549">
      <c r="A126" s="712" t="n"/>
      <c r="B126" s="704" t="inlineStr">
        <is>
          <t>Traslado Contenedor (ida y vuelta)</t>
        </is>
      </c>
      <c r="C126" s="690">
        <f>+'Flujo Bruto'!O44</f>
        <v/>
      </c>
      <c r="D126" s="690">
        <f>+'Flujo Bruto'!P44</f>
        <v/>
      </c>
      <c r="E126" s="690">
        <f>+'Flujo Bruto'!Q44</f>
        <v/>
      </c>
      <c r="F126" s="690">
        <f>+'Flujo Bruto'!R44</f>
        <v/>
      </c>
      <c r="G126" s="690">
        <f>+'Flujo Bruto'!S44</f>
        <v/>
      </c>
      <c r="H126" s="690">
        <f>+'Flujo Bruto'!V44</f>
        <v/>
      </c>
      <c r="I126" s="690">
        <f>+'Flujo Bruto'!W44</f>
        <v/>
      </c>
      <c r="J126" s="690">
        <f>SUM(C126:I126)</f>
        <v/>
      </c>
      <c r="K126" s="713" t="n"/>
      <c r="L126" s="713" t="n"/>
      <c r="M126" s="713" t="n"/>
    </row>
    <row r="127" outlineLevel="1" ht="14" customHeight="1" s="549">
      <c r="A127" s="714" t="n"/>
      <c r="B127" s="715" t="inlineStr">
        <is>
          <t>Camión Transporte Origen - Punto Destino (RAMPLA ABIERTA)</t>
        </is>
      </c>
      <c r="C127" s="716">
        <f>+'Flujo Bruto'!O45</f>
        <v/>
      </c>
      <c r="D127" s="716">
        <f>+'Flujo Bruto'!P45</f>
        <v/>
      </c>
      <c r="E127" s="716">
        <f>+'Flujo Bruto'!Q45</f>
        <v/>
      </c>
      <c r="F127" s="716">
        <f>+'Flujo Bruto'!R45</f>
        <v/>
      </c>
      <c r="G127" s="716">
        <f>+'Flujo Bruto'!S45</f>
        <v/>
      </c>
      <c r="H127" s="716">
        <f>+'Flujo Bruto'!V45</f>
        <v/>
      </c>
      <c r="I127" s="716">
        <f>+'Flujo Bruto'!W45</f>
        <v/>
      </c>
      <c r="J127" s="685">
        <f>SUM(C127:I127)</f>
        <v/>
      </c>
      <c r="K127" s="717" t="n"/>
      <c r="L127" s="717" t="n"/>
      <c r="M127" s="717" t="n"/>
    </row>
    <row r="128" outlineLevel="1" ht="14" customHeight="1" s="549">
      <c r="A128" s="712" t="n"/>
      <c r="B128" s="704" t="n"/>
      <c r="C128" s="690">
        <f>+'Flujo Bruto'!O46</f>
        <v/>
      </c>
      <c r="D128" s="690">
        <f>+'Flujo Bruto'!P46</f>
        <v/>
      </c>
      <c r="E128" s="690">
        <f>+'Flujo Bruto'!Q46</f>
        <v/>
      </c>
      <c r="F128" s="690">
        <f>+'Flujo Bruto'!R46</f>
        <v/>
      </c>
      <c r="G128" s="690">
        <f>+'Flujo Bruto'!S46</f>
        <v/>
      </c>
      <c r="H128" s="690">
        <f>+'Flujo Bruto'!V46</f>
        <v/>
      </c>
      <c r="I128" s="690">
        <f>+'Flujo Bruto'!W46</f>
        <v/>
      </c>
      <c r="J128" s="690">
        <f>SUM(C128:I128)</f>
        <v/>
      </c>
      <c r="K128" s="713" t="n"/>
      <c r="L128" s="713" t="n"/>
      <c r="M128" s="713" t="n"/>
    </row>
    <row r="129" outlineLevel="1" ht="14" customHeight="1" s="549">
      <c r="A129" s="714" t="n"/>
      <c r="B129" s="715" t="n"/>
      <c r="C129" s="716">
        <f>+'Flujo Bruto'!O47</f>
        <v/>
      </c>
      <c r="D129" s="716">
        <f>+'Flujo Bruto'!P47</f>
        <v/>
      </c>
      <c r="E129" s="716">
        <f>+'Flujo Bruto'!Q47</f>
        <v/>
      </c>
      <c r="F129" s="716">
        <f>+'Flujo Bruto'!R47</f>
        <v/>
      </c>
      <c r="G129" s="716">
        <f>+'Flujo Bruto'!S47</f>
        <v/>
      </c>
      <c r="H129" s="716">
        <f>+'Flujo Bruto'!V47</f>
        <v/>
      </c>
      <c r="I129" s="716">
        <f>+'Flujo Bruto'!W47</f>
        <v/>
      </c>
      <c r="J129" s="685">
        <f>SUM(C129:I129)</f>
        <v/>
      </c>
      <c r="K129" s="717" t="n"/>
      <c r="L129" s="717" t="n"/>
      <c r="M129" s="717" t="n"/>
    </row>
    <row r="130" outlineLevel="1" ht="14" customHeight="1" s="549">
      <c r="A130" s="712" t="n"/>
      <c r="B130" s="704" t="inlineStr">
        <is>
          <t>Camión Transporte Origen - Punto Destino (Camión cerrado)</t>
        </is>
      </c>
      <c r="C130" s="690">
        <f>+'Flujo Bruto'!O48</f>
        <v/>
      </c>
      <c r="D130" s="690">
        <f>+'Flujo Bruto'!P48</f>
        <v/>
      </c>
      <c r="E130" s="690">
        <f>+'Flujo Bruto'!Q48</f>
        <v/>
      </c>
      <c r="F130" s="690">
        <f>+'Flujo Bruto'!R48</f>
        <v/>
      </c>
      <c r="G130" s="690">
        <f>+'Flujo Bruto'!S48</f>
        <v/>
      </c>
      <c r="H130" s="690">
        <f>+'Flujo Bruto'!V48</f>
        <v/>
      </c>
      <c r="I130" s="690">
        <f>+'Flujo Bruto'!W48</f>
        <v/>
      </c>
      <c r="J130" s="690">
        <f>SUM(C130:I130)</f>
        <v/>
      </c>
      <c r="K130" s="713" t="n"/>
      <c r="L130" s="713" t="n"/>
      <c r="M130" s="713" t="n"/>
    </row>
    <row r="131" outlineLevel="1" ht="14" customHeight="1" s="549">
      <c r="A131" s="714" t="n"/>
      <c r="B131" s="715" t="inlineStr">
        <is>
          <t>Traslados de personal</t>
        </is>
      </c>
      <c r="C131" s="716">
        <f>+'Flujo Bruto'!O57</f>
        <v/>
      </c>
      <c r="D131" s="716">
        <f>+'Flujo Bruto'!P57</f>
        <v/>
      </c>
      <c r="E131" s="716">
        <f>+'Flujo Bruto'!Q57</f>
        <v/>
      </c>
      <c r="F131" s="716">
        <f>+'Flujo Bruto'!R57</f>
        <v/>
      </c>
      <c r="G131" s="716">
        <f>+'Flujo Bruto'!S57</f>
        <v/>
      </c>
      <c r="H131" s="716">
        <f>+'Flujo Bruto'!V57</f>
        <v/>
      </c>
      <c r="I131" s="716">
        <f>+'Flujo Bruto'!W57</f>
        <v/>
      </c>
      <c r="J131" s="685">
        <f>SUM(C131:I131)</f>
        <v/>
      </c>
      <c r="K131" s="717" t="n"/>
      <c r="L131" s="717" t="n"/>
      <c r="M131" s="717" t="n"/>
    </row>
    <row r="132" outlineLevel="1" ht="14" customHeight="1" s="549">
      <c r="A132" s="712" t="n"/>
      <c r="B132" s="704" t="inlineStr">
        <is>
          <t>Alojamiento</t>
        </is>
      </c>
      <c r="C132" s="690">
        <f>+'Flujo Bruto'!O58</f>
        <v/>
      </c>
      <c r="D132" s="690">
        <f>+'Flujo Bruto'!P58</f>
        <v/>
      </c>
      <c r="E132" s="690">
        <f>+'Flujo Bruto'!Q58</f>
        <v/>
      </c>
      <c r="F132" s="690">
        <f>+'Flujo Bruto'!R58</f>
        <v/>
      </c>
      <c r="G132" s="690">
        <f>+'Flujo Bruto'!S58</f>
        <v/>
      </c>
      <c r="H132" s="690">
        <f>+'Flujo Bruto'!V58</f>
        <v/>
      </c>
      <c r="I132" s="690">
        <f>+'Flujo Bruto'!W58</f>
        <v/>
      </c>
      <c r="J132" s="690">
        <f>SUM(C132:I132)</f>
        <v/>
      </c>
      <c r="K132" s="713" t="n"/>
      <c r="L132" s="713" t="n"/>
      <c r="M132" s="713" t="n"/>
    </row>
    <row r="133" outlineLevel="1" ht="14" customHeight="1" s="549">
      <c r="A133" s="714" t="n"/>
      <c r="B133" s="715" t="inlineStr">
        <is>
          <t>Alimentación</t>
        </is>
      </c>
      <c r="C133" s="716">
        <f>+'Flujo Bruto'!O59</f>
        <v/>
      </c>
      <c r="D133" s="716">
        <f>+'Flujo Bruto'!P59</f>
        <v/>
      </c>
      <c r="E133" s="716">
        <f>+'Flujo Bruto'!Q59</f>
        <v/>
      </c>
      <c r="F133" s="716">
        <f>+'Flujo Bruto'!R59</f>
        <v/>
      </c>
      <c r="G133" s="716">
        <f>+'Flujo Bruto'!S59</f>
        <v/>
      </c>
      <c r="H133" s="716">
        <f>+'Flujo Bruto'!V59</f>
        <v/>
      </c>
      <c r="I133" s="716">
        <f>+'Flujo Bruto'!W59</f>
        <v/>
      </c>
      <c r="J133" s="685">
        <f>SUM(C133:I133)</f>
        <v/>
      </c>
      <c r="K133" s="717" t="n"/>
      <c r="L133" s="717" t="n"/>
      <c r="M133" s="717" t="n"/>
    </row>
    <row r="134" outlineLevel="1" ht="14" customHeight="1" s="549">
      <c r="A134" s="712" t="n"/>
      <c r="B134" s="704" t="inlineStr">
        <is>
          <t>Combustible arriendo diario</t>
        </is>
      </c>
      <c r="C134" s="690">
        <f>+'Flujo Bruto'!O60</f>
        <v/>
      </c>
      <c r="D134" s="690">
        <f>+'Flujo Bruto'!P60</f>
        <v/>
      </c>
      <c r="E134" s="690">
        <f>+'Flujo Bruto'!Q60</f>
        <v/>
      </c>
      <c r="F134" s="690">
        <f>+'Flujo Bruto'!R60</f>
        <v/>
      </c>
      <c r="G134" s="690">
        <f>+'Flujo Bruto'!S60</f>
        <v/>
      </c>
      <c r="H134" s="690">
        <f>+'Flujo Bruto'!V60</f>
        <v/>
      </c>
      <c r="I134" s="690">
        <f>+'Flujo Bruto'!W60</f>
        <v/>
      </c>
      <c r="J134" s="690">
        <f>SUM(C134:I134)</f>
        <v/>
      </c>
      <c r="K134" s="713" t="n"/>
      <c r="L134" s="713" t="n"/>
      <c r="M134" s="713" t="n"/>
    </row>
    <row r="135" outlineLevel="1" ht="14" customHeight="1" s="549">
      <c r="A135" s="714" t="n"/>
      <c r="B135" s="715" t="inlineStr">
        <is>
          <t>Combustible arriendo mensual</t>
        </is>
      </c>
      <c r="C135" s="716">
        <f>+'Flujo Bruto'!O61</f>
        <v/>
      </c>
      <c r="D135" s="716">
        <f>+'Flujo Bruto'!P61</f>
        <v/>
      </c>
      <c r="E135" s="716">
        <f>+'Flujo Bruto'!Q61</f>
        <v/>
      </c>
      <c r="F135" s="716">
        <f>+'Flujo Bruto'!R61</f>
        <v/>
      </c>
      <c r="G135" s="716">
        <f>+'Flujo Bruto'!S61</f>
        <v/>
      </c>
      <c r="H135" s="716">
        <f>+'Flujo Bruto'!V61</f>
        <v/>
      </c>
      <c r="I135" s="716">
        <f>+'Flujo Bruto'!W61</f>
        <v/>
      </c>
      <c r="J135" s="685">
        <f>SUM(C135:I135)</f>
        <v/>
      </c>
      <c r="K135" s="717" t="n"/>
      <c r="L135" s="717" t="n"/>
      <c r="M135" s="717" t="n"/>
    </row>
    <row r="136" outlineLevel="1" ht="14" customHeight="1" s="549">
      <c r="A136" s="712" t="n"/>
      <c r="B136" s="704" t="inlineStr">
        <is>
          <t>Peajes</t>
        </is>
      </c>
      <c r="C136" s="690">
        <f>+'Flujo Bruto'!O62</f>
        <v/>
      </c>
      <c r="D136" s="690">
        <f>+'Flujo Bruto'!P62</f>
        <v/>
      </c>
      <c r="E136" s="690">
        <f>+'Flujo Bruto'!Q62</f>
        <v/>
      </c>
      <c r="F136" s="690">
        <f>+'Flujo Bruto'!R62</f>
        <v/>
      </c>
      <c r="G136" s="690">
        <f>+'Flujo Bruto'!S62</f>
        <v/>
      </c>
      <c r="H136" s="690">
        <f>+'Flujo Bruto'!V62</f>
        <v/>
      </c>
      <c r="I136" s="690">
        <f>+'Flujo Bruto'!W62</f>
        <v/>
      </c>
      <c r="J136" s="690">
        <f>SUM(C136:I136)</f>
        <v/>
      </c>
      <c r="K136" s="713" t="n"/>
      <c r="L136" s="713" t="n"/>
      <c r="M136" s="713" t="n"/>
    </row>
    <row r="137" outlineLevel="1" s="549"/>
    <row r="138" outlineLevel="1" s="549"/>
    <row r="139" outlineLevel="1" s="549"/>
    <row r="140" outlineLevel="1" s="549"/>
    <row r="141" outlineLevel="1" s="549"/>
    <row r="142" outlineLevel="1" s="549"/>
    <row r="143" outlineLevel="1" s="549"/>
    <row r="144" outlineLevel="1" s="549"/>
    <row r="145" outlineLevel="1" s="549"/>
    <row r="146" outlineLevel="1" s="549"/>
    <row r="147" outlineLevel="1" s="549"/>
    <row r="148" outlineLevel="1" s="549"/>
    <row r="149" outlineLevel="1" s="549"/>
    <row r="150" outlineLevel="1" s="549"/>
    <row r="151" outlineLevel="1" s="549"/>
    <row r="152" outlineLevel="1" s="549"/>
    <row r="153" outlineLevel="1" s="549"/>
    <row r="154" outlineLevel="1" s="549"/>
    <row r="155" outlineLevel="1" s="549"/>
    <row r="156" outlineLevel="1" s="549"/>
    <row r="157" outlineLevel="1" s="549"/>
    <row r="158" outlineLevel="1" s="549"/>
    <row r="159" outlineLevel="1" s="549"/>
    <row r="160" outlineLevel="1" s="549"/>
    <row r="161" outlineLevel="1" s="549"/>
    <row r="162" outlineLevel="1" s="549"/>
    <row r="163" outlineLevel="1" s="549"/>
    <row r="164" outlineLevel="1" ht="14" customHeight="1" s="549">
      <c r="A164" s="720" t="n"/>
      <c r="B164" s="715" t="inlineStr">
        <is>
          <t>Compra</t>
        </is>
      </c>
      <c r="C164" s="716" t="n"/>
      <c r="D164" s="716" t="n"/>
      <c r="E164" s="716" t="n"/>
      <c r="F164" s="716" t="n"/>
      <c r="G164" s="716" t="n"/>
      <c r="H164" s="716" t="n"/>
      <c r="I164" s="716" t="n"/>
      <c r="J164" s="685" t="n"/>
      <c r="K164" s="717" t="n"/>
      <c r="L164" s="717" t="n"/>
      <c r="M164" s="717" t="n"/>
    </row>
    <row r="165" outlineLevel="1" ht="14" customHeight="1" s="549">
      <c r="A165" s="712" t="n"/>
      <c r="B165" s="704" t="inlineStr">
        <is>
          <t>Instalación</t>
        </is>
      </c>
      <c r="C165" s="690" t="n"/>
      <c r="D165" s="690" t="n"/>
      <c r="E165" s="690" t="n"/>
      <c r="F165" s="690" t="n"/>
      <c r="G165" s="690" t="n"/>
      <c r="H165" s="690" t="n"/>
      <c r="I165" s="690" t="n"/>
      <c r="J165" s="690" t="n"/>
      <c r="K165" s="713" t="n"/>
      <c r="L165" s="713" t="n"/>
      <c r="M165" s="713" t="n"/>
    </row>
    <row r="166" ht="14" customHeight="1" s="549">
      <c r="A166" s="720" t="n">
        <v>7</v>
      </c>
      <c r="B166" s="721" t="inlineStr">
        <is>
          <t>Formación y Asesoria a usuarios de electrodomésticos y uso.</t>
        </is>
      </c>
      <c r="C166" s="722">
        <f>SUM(C167:C183)</f>
        <v/>
      </c>
      <c r="D166" s="722">
        <f>SUM(D167:D183)</f>
        <v/>
      </c>
      <c r="E166" s="722">
        <f>SUM(E167:E183)</f>
        <v/>
      </c>
      <c r="F166" s="722">
        <f>SUM(F167:F183)</f>
        <v/>
      </c>
      <c r="G166" s="722">
        <f>SUM(G167:G183)</f>
        <v/>
      </c>
      <c r="H166" s="722">
        <f>SUM(H167:H183)</f>
        <v/>
      </c>
      <c r="I166" s="722">
        <f>SUM(I167:I183)</f>
        <v/>
      </c>
      <c r="J166" s="685">
        <f>SUM(C166:I166)</f>
        <v/>
      </c>
      <c r="K166" s="717" t="inlineStr">
        <is>
          <t>Técnico</t>
        </is>
      </c>
      <c r="L166" s="717" t="inlineStr">
        <is>
          <t>Gestión Pagada por GORE Coquimbo</t>
        </is>
      </c>
      <c r="M166" s="717" t="n"/>
    </row>
    <row r="167" outlineLevel="1" ht="14" customHeight="1" s="549">
      <c r="A167" s="712" t="n"/>
      <c r="B167" s="704" t="inlineStr">
        <is>
          <t>Planilla Actual</t>
        </is>
      </c>
      <c r="C167" s="690" t="n"/>
      <c r="D167" s="690" t="n"/>
      <c r="E167" s="690" t="n"/>
      <c r="F167" s="690" t="n"/>
      <c r="G167" s="690" t="n"/>
      <c r="H167" s="690" t="n"/>
      <c r="I167" s="690" t="n"/>
      <c r="J167" s="690" t="n"/>
      <c r="K167" s="713" t="n"/>
      <c r="L167" s="713" t="n"/>
      <c r="M167" s="713" t="n"/>
    </row>
    <row r="168" outlineLevel="1" ht="14" customHeight="1" s="549">
      <c r="A168" s="714" t="n"/>
      <c r="B168" s="715" t="inlineStr">
        <is>
          <t>Descarga estructura</t>
        </is>
      </c>
      <c r="C168" s="716" t="n"/>
      <c r="D168" s="716" t="n"/>
      <c r="E168" s="716" t="n"/>
      <c r="F168" s="716" t="n"/>
      <c r="G168" s="716" t="n">
        <v>9000000</v>
      </c>
      <c r="H168" s="716" t="n">
        <v>9000000</v>
      </c>
      <c r="I168" s="716" t="n"/>
      <c r="J168" s="685" t="n"/>
      <c r="K168" s="717" t="n"/>
      <c r="L168" s="717" t="n"/>
      <c r="M168" s="717" t="n"/>
    </row>
    <row r="169" outlineLevel="1" ht="14" customHeight="1" s="549">
      <c r="A169" s="712" t="n"/>
      <c r="B169" s="704" t="inlineStr">
        <is>
          <t>Encargado territorial RRHH</t>
        </is>
      </c>
      <c r="C169" s="690" t="n"/>
      <c r="D169" s="690" t="n"/>
      <c r="E169" s="690" t="n"/>
      <c r="F169" s="690" t="n"/>
      <c r="G169" s="690" t="n">
        <v>900000</v>
      </c>
      <c r="H169" s="690" t="n">
        <v>900000</v>
      </c>
      <c r="I169" s="690" t="n"/>
      <c r="J169" s="690" t="n"/>
      <c r="K169" s="713" t="n"/>
      <c r="L169" s="713" t="n"/>
      <c r="M169" s="713" t="n"/>
    </row>
    <row r="170" outlineLevel="1" ht="14" customHeight="1" s="549">
      <c r="A170" s="714" t="n"/>
      <c r="B170" s="715" t="inlineStr">
        <is>
          <t>Arriendo vehículo diario - RRCC</t>
        </is>
      </c>
      <c r="C170" s="716" t="n"/>
      <c r="D170" s="716" t="n"/>
      <c r="E170" s="716" t="n"/>
      <c r="F170" s="716" t="n"/>
      <c r="G170" s="716" t="n"/>
      <c r="H170" s="716" t="n"/>
      <c r="I170" s="716" t="n"/>
      <c r="J170" s="685" t="n"/>
      <c r="K170" s="717" t="n"/>
      <c r="L170" s="717" t="n"/>
      <c r="M170" s="717" t="n"/>
    </row>
    <row r="171" outlineLevel="1" ht="14" customHeight="1" s="549">
      <c r="A171" s="712" t="n"/>
      <c r="B171" s="704" t="inlineStr">
        <is>
          <t>Vehiculo RRCC</t>
        </is>
      </c>
      <c r="C171" s="690" t="n"/>
      <c r="D171" s="690" t="n"/>
      <c r="E171" s="690" t="n"/>
      <c r="F171" s="690" t="n"/>
      <c r="G171" s="690" t="n"/>
      <c r="H171" s="690" t="n"/>
      <c r="I171" s="690" t="n"/>
      <c r="J171" s="690" t="n"/>
      <c r="K171" s="713" t="n"/>
      <c r="L171" s="713" t="n"/>
      <c r="M171" s="713" t="n"/>
    </row>
    <row r="172" outlineLevel="1" ht="14" customHeight="1" s="549">
      <c r="A172" s="714" t="n"/>
      <c r="B172" s="715" t="inlineStr">
        <is>
          <t>Traslados de personal</t>
        </is>
      </c>
      <c r="C172" s="716" t="n"/>
      <c r="D172" s="716" t="n"/>
      <c r="E172" s="716" t="n"/>
      <c r="F172" s="716" t="n"/>
      <c r="G172" s="716" t="n"/>
      <c r="H172" s="716" t="n"/>
      <c r="I172" s="716" t="n"/>
      <c r="J172" s="685" t="n"/>
      <c r="K172" s="717" t="n"/>
      <c r="L172" s="717" t="n"/>
      <c r="M172" s="717" t="n"/>
    </row>
    <row r="173" outlineLevel="1" ht="14" customHeight="1" s="549">
      <c r="A173" s="712" t="n"/>
      <c r="B173" s="704" t="inlineStr">
        <is>
          <t>Alojamiento</t>
        </is>
      </c>
      <c r="C173" s="690" t="n"/>
      <c r="D173" s="690" t="n"/>
      <c r="E173" s="690" t="n"/>
      <c r="F173" s="690" t="n"/>
      <c r="G173" s="690" t="n"/>
      <c r="H173" s="690" t="n"/>
      <c r="I173" s="690" t="n"/>
      <c r="J173" s="690" t="n"/>
      <c r="K173" s="713" t="n"/>
      <c r="L173" s="713" t="n"/>
      <c r="M173" s="713" t="n"/>
    </row>
    <row r="174" outlineLevel="1" ht="14" customHeight="1" s="549">
      <c r="A174" s="714" t="n"/>
      <c r="B174" s="715" t="inlineStr">
        <is>
          <t>Alimentación</t>
        </is>
      </c>
      <c r="C174" s="716" t="n"/>
      <c r="D174" s="716" t="n"/>
      <c r="E174" s="716" t="n"/>
      <c r="F174" s="716" t="n"/>
      <c r="G174" s="716" t="n"/>
      <c r="H174" s="716" t="n"/>
      <c r="I174" s="716" t="n"/>
      <c r="J174" s="685" t="n"/>
      <c r="K174" s="717" t="n"/>
      <c r="L174" s="717" t="n"/>
      <c r="M174" s="717" t="n"/>
    </row>
    <row r="175" outlineLevel="1" ht="14" customHeight="1" s="549">
      <c r="A175" s="712" t="n"/>
      <c r="B175" s="704" t="inlineStr">
        <is>
          <t>Combustible arriendo diario</t>
        </is>
      </c>
      <c r="C175" s="690" t="n"/>
      <c r="D175" s="690" t="n"/>
      <c r="E175" s="690" t="n"/>
      <c r="F175" s="690" t="n"/>
      <c r="G175" s="690" t="n"/>
      <c r="H175" s="690" t="n"/>
      <c r="I175" s="690" t="n"/>
      <c r="J175" s="690" t="n"/>
      <c r="K175" s="713" t="n"/>
      <c r="L175" s="713" t="n"/>
      <c r="M175" s="713" t="n"/>
    </row>
    <row r="176" outlineLevel="1" ht="14" customHeight="1" s="549">
      <c r="A176" s="714" t="n"/>
      <c r="B176" s="715" t="inlineStr">
        <is>
          <t>Combustible arriendo mensual</t>
        </is>
      </c>
      <c r="C176" s="716" t="n"/>
      <c r="D176" s="716" t="n"/>
      <c r="E176" s="716" t="n"/>
      <c r="F176" s="716" t="n"/>
      <c r="G176" s="716" t="n"/>
      <c r="H176" s="716" t="n"/>
      <c r="I176" s="716" t="n"/>
      <c r="J176" s="685" t="n"/>
      <c r="K176" s="717" t="n"/>
      <c r="L176" s="717" t="n"/>
      <c r="M176" s="717" t="n"/>
    </row>
    <row r="177" outlineLevel="1" ht="14" customHeight="1" s="549">
      <c r="A177" s="712" t="n"/>
      <c r="B177" s="704" t="inlineStr">
        <is>
          <t>Peajes</t>
        </is>
      </c>
      <c r="C177" s="690" t="n"/>
      <c r="D177" s="690" t="n"/>
      <c r="E177" s="690" t="n"/>
      <c r="F177" s="690" t="n"/>
      <c r="G177" s="690" t="n"/>
      <c r="H177" s="690" t="n"/>
      <c r="I177" s="690" t="n"/>
      <c r="J177" s="690" t="n"/>
      <c r="K177" s="713" t="n"/>
      <c r="L177" s="713" t="n"/>
      <c r="M177" s="713" t="n"/>
    </row>
    <row r="178" outlineLevel="1" ht="14" customHeight="1" s="549">
      <c r="A178" s="714" t="n"/>
      <c r="B178" s="715" t="inlineStr">
        <is>
          <t xml:space="preserve">Compras de Equipos, EEPP, Otros </t>
        </is>
      </c>
      <c r="C178" s="716" t="n"/>
      <c r="D178" s="716" t="n"/>
      <c r="E178" s="716" t="n"/>
      <c r="F178" s="716" t="n"/>
      <c r="G178" s="716" t="n"/>
      <c r="H178" s="716" t="n"/>
      <c r="I178" s="716" t="n"/>
      <c r="J178" s="685" t="n"/>
      <c r="K178" s="717" t="n"/>
      <c r="L178" s="717" t="n"/>
      <c r="M178" s="717" t="n"/>
    </row>
    <row r="179" outlineLevel="1" ht="14" customHeight="1" s="549">
      <c r="A179" s="712" t="n"/>
      <c r="B179" s="704" t="inlineStr">
        <is>
          <t>Mensajerias (Correo de Chile)</t>
        </is>
      </c>
      <c r="C179" s="690" t="n"/>
      <c r="D179" s="690" t="n"/>
      <c r="E179" s="690" t="n"/>
      <c r="F179" s="690" t="n"/>
      <c r="G179" s="690" t="n"/>
      <c r="H179" s="690" t="n"/>
      <c r="I179" s="690" t="n"/>
      <c r="J179" s="690" t="n"/>
      <c r="K179" s="713" t="n"/>
      <c r="L179" s="713" t="n"/>
      <c r="M179" s="713" t="n"/>
    </row>
    <row r="180" outlineLevel="1" ht="14" customHeight="1" s="549">
      <c r="A180" s="714" t="n"/>
      <c r="B180" s="715" t="inlineStr">
        <is>
          <t>Impresión de manuales</t>
        </is>
      </c>
      <c r="C180" s="716" t="n"/>
      <c r="D180" s="716" t="n"/>
      <c r="E180" s="716" t="n"/>
      <c r="F180" s="716" t="n"/>
      <c r="G180" s="716" t="n"/>
      <c r="H180" s="716" t="n"/>
      <c r="I180" s="716" t="n"/>
      <c r="J180" s="685" t="n"/>
      <c r="K180" s="717" t="n"/>
      <c r="L180" s="717" t="n"/>
      <c r="M180" s="717" t="n"/>
    </row>
    <row r="181" outlineLevel="1" ht="14" customHeight="1" s="549">
      <c r="A181" s="712" t="n"/>
      <c r="B181" s="704" t="inlineStr">
        <is>
          <t>Mantención y reparación de Vehículos</t>
        </is>
      </c>
      <c r="C181" s="690" t="n"/>
      <c r="D181" s="690" t="n"/>
      <c r="E181" s="690" t="n"/>
      <c r="F181" s="690" t="n"/>
      <c r="G181" s="690" t="n"/>
      <c r="H181" s="690" t="n"/>
      <c r="I181" s="690" t="n"/>
      <c r="J181" s="690" t="n"/>
      <c r="K181" s="713" t="n"/>
      <c r="L181" s="713" t="n"/>
      <c r="M181" s="713" t="n"/>
    </row>
    <row r="182" outlineLevel="1" ht="14" customHeight="1" s="549">
      <c r="A182" s="714" t="n"/>
      <c r="B182" s="715" t="inlineStr">
        <is>
          <t xml:space="preserve">Otros varios </t>
        </is>
      </c>
      <c r="C182" s="716" t="n"/>
      <c r="D182" s="716" t="n"/>
      <c r="E182" s="716" t="n"/>
      <c r="F182" s="716" t="n"/>
      <c r="G182" s="716" t="n"/>
      <c r="H182" s="716" t="n"/>
      <c r="I182" s="716" t="n"/>
      <c r="J182" s="685" t="n"/>
      <c r="K182" s="717" t="n"/>
      <c r="L182" s="717" t="n"/>
      <c r="M182" s="717" t="n"/>
    </row>
    <row r="183" outlineLevel="1" s="549">
      <c r="A183" s="483" t="n"/>
      <c r="B183" s="473" t="n"/>
      <c r="C183" s="718" t="n"/>
      <c r="D183" s="718" t="n"/>
      <c r="E183" s="718" t="n"/>
      <c r="F183" s="718" t="n"/>
      <c r="G183" s="718" t="n"/>
      <c r="H183" s="718" t="n"/>
      <c r="I183" s="718" t="n"/>
      <c r="J183" s="719" t="n"/>
      <c r="K183" s="461" t="n"/>
      <c r="L183" s="461" t="n"/>
    </row>
    <row r="184" ht="14" customHeight="1" s="549">
      <c r="A184" s="712" t="n">
        <v>8</v>
      </c>
      <c r="B184" s="689" t="inlineStr">
        <is>
          <t>Cierre de proyecto - informes de instalación</t>
        </is>
      </c>
      <c r="C184" s="690">
        <f>SUM(C185:C201)</f>
        <v/>
      </c>
      <c r="D184" s="690">
        <f>SUM(D185:D201)</f>
        <v/>
      </c>
      <c r="E184" s="690">
        <f>SUM(E185:E201)</f>
        <v/>
      </c>
      <c r="F184" s="690">
        <f>SUM(F185:F201)</f>
        <v/>
      </c>
      <c r="G184" s="690">
        <f>SUM(G185:G201)</f>
        <v/>
      </c>
      <c r="H184" s="690">
        <f>SUM(H185:H201)</f>
        <v/>
      </c>
      <c r="I184" s="690">
        <f>SUM(I185:I201)</f>
        <v/>
      </c>
      <c r="J184" s="690">
        <f>SUM(C184:I184)</f>
        <v/>
      </c>
      <c r="K184" s="713" t="inlineStr">
        <is>
          <t>Técnico</t>
        </is>
      </c>
      <c r="L184" s="713" t="n"/>
      <c r="M184" s="713" t="n"/>
    </row>
    <row r="185" hidden="1" outlineLevel="1" ht="14" customHeight="1" s="549">
      <c r="A185" s="726" t="n"/>
      <c r="B185" s="715" t="inlineStr">
        <is>
          <t>Planilla Actual</t>
        </is>
      </c>
      <c r="C185" s="716" t="n"/>
      <c r="D185" s="716" t="n"/>
      <c r="E185" s="716" t="n"/>
      <c r="F185" s="716" t="n"/>
      <c r="G185" s="716" t="n"/>
      <c r="H185" s="716" t="n"/>
      <c r="I185" s="716">
        <f>+'Flujo Bruto'!E21</f>
        <v/>
      </c>
      <c r="J185" s="685" t="n"/>
      <c r="K185" s="717" t="n"/>
      <c r="L185" s="717" t="n"/>
      <c r="M185" s="717" t="n"/>
    </row>
    <row r="186" hidden="1" outlineLevel="1" ht="14" customHeight="1" s="549">
      <c r="A186" s="689" t="n"/>
      <c r="B186" s="704" t="inlineStr">
        <is>
          <t>Descarga estructura</t>
        </is>
      </c>
      <c r="C186" s="690" t="n"/>
      <c r="D186" s="690" t="n"/>
      <c r="E186" s="690" t="n"/>
      <c r="F186" s="690" t="n"/>
      <c r="G186" s="690" t="n"/>
      <c r="H186" s="690" t="n"/>
      <c r="I186" s="690" t="n">
        <v>4000000</v>
      </c>
      <c r="J186" s="690" t="n"/>
      <c r="K186" s="713" t="n"/>
      <c r="L186" s="713" t="n"/>
      <c r="M186" s="713" t="n"/>
    </row>
    <row r="187" hidden="1" outlineLevel="1" ht="14" customHeight="1" s="549">
      <c r="A187" s="726" t="n"/>
      <c r="B187" s="715" t="inlineStr">
        <is>
          <t>Encargado territorial RRHH</t>
        </is>
      </c>
      <c r="C187" s="716" t="n"/>
      <c r="D187" s="716" t="n"/>
      <c r="E187" s="716" t="n"/>
      <c r="F187" s="716" t="n"/>
      <c r="G187" s="716" t="n"/>
      <c r="H187" s="716" t="n"/>
      <c r="I187" s="716" t="n">
        <v>900000</v>
      </c>
      <c r="J187" s="685" t="n"/>
      <c r="K187" s="717" t="n"/>
      <c r="L187" s="717" t="n"/>
      <c r="M187" s="717" t="n"/>
    </row>
    <row r="188" hidden="1" outlineLevel="1" ht="14" customHeight="1" s="549">
      <c r="A188" s="689" t="n"/>
      <c r="B188" s="704" t="inlineStr">
        <is>
          <t>Arriendo vehículo diario - RRCC</t>
        </is>
      </c>
      <c r="C188" s="690" t="n"/>
      <c r="D188" s="690" t="n"/>
      <c r="E188" s="690" t="n"/>
      <c r="F188" s="690" t="n"/>
      <c r="G188" s="690" t="n"/>
      <c r="H188" s="690" t="n"/>
      <c r="I188" s="690" t="n"/>
      <c r="J188" s="690" t="n"/>
      <c r="K188" s="713" t="n"/>
      <c r="L188" s="713" t="n"/>
      <c r="M188" s="713" t="n"/>
    </row>
    <row r="189" hidden="1" outlineLevel="1" ht="14" customHeight="1" s="549">
      <c r="A189" s="726" t="n"/>
      <c r="B189" s="715" t="inlineStr">
        <is>
          <t>Vehiculo RRCC</t>
        </is>
      </c>
      <c r="C189" s="716" t="n"/>
      <c r="D189" s="716" t="n"/>
      <c r="E189" s="716" t="n"/>
      <c r="F189" s="716" t="n"/>
      <c r="G189" s="716" t="n"/>
      <c r="H189" s="716" t="n"/>
      <c r="I189" s="716" t="n"/>
      <c r="J189" s="685" t="n"/>
      <c r="K189" s="717" t="n"/>
      <c r="L189" s="717" t="n"/>
      <c r="M189" s="717" t="n"/>
    </row>
    <row r="190" hidden="1" outlineLevel="1" ht="14" customHeight="1" s="549">
      <c r="A190" s="689" t="n"/>
      <c r="B190" s="704" t="inlineStr">
        <is>
          <t>Traslados de personal</t>
        </is>
      </c>
      <c r="C190" s="690" t="n"/>
      <c r="D190" s="690" t="n"/>
      <c r="E190" s="690" t="n"/>
      <c r="F190" s="690" t="n"/>
      <c r="G190" s="690" t="n"/>
      <c r="H190" s="690" t="n"/>
      <c r="I190" s="690" t="n"/>
      <c r="J190" s="690" t="n"/>
      <c r="K190" s="713" t="n"/>
      <c r="L190" s="713" t="n"/>
      <c r="M190" s="713" t="n"/>
    </row>
    <row r="191" hidden="1" outlineLevel="1" ht="14" customHeight="1" s="549">
      <c r="A191" s="726" t="n"/>
      <c r="B191" s="715" t="inlineStr">
        <is>
          <t>Alojamiento</t>
        </is>
      </c>
      <c r="C191" s="716" t="n"/>
      <c r="D191" s="716" t="n"/>
      <c r="E191" s="716" t="n"/>
      <c r="F191" s="716" t="n"/>
      <c r="G191" s="716" t="n"/>
      <c r="H191" s="716" t="n"/>
      <c r="I191" s="716" t="n"/>
      <c r="J191" s="685" t="n"/>
      <c r="K191" s="717" t="n"/>
      <c r="L191" s="717" t="n"/>
      <c r="M191" s="717" t="n"/>
    </row>
    <row r="192" hidden="1" outlineLevel="1" ht="14" customHeight="1" s="549">
      <c r="A192" s="689" t="n"/>
      <c r="B192" s="704" t="inlineStr">
        <is>
          <t>Alimentación</t>
        </is>
      </c>
      <c r="C192" s="690" t="n"/>
      <c r="D192" s="690" t="n"/>
      <c r="E192" s="690" t="n"/>
      <c r="F192" s="690" t="n"/>
      <c r="G192" s="690" t="n"/>
      <c r="H192" s="690" t="n"/>
      <c r="I192" s="690" t="n"/>
      <c r="J192" s="690" t="n"/>
      <c r="K192" s="713" t="n"/>
      <c r="L192" s="713" t="n"/>
      <c r="M192" s="713" t="n"/>
    </row>
    <row r="193" hidden="1" outlineLevel="1" ht="14" customHeight="1" s="549">
      <c r="A193" s="726" t="n"/>
      <c r="B193" s="715" t="inlineStr">
        <is>
          <t>Combustible arriendo diario</t>
        </is>
      </c>
      <c r="C193" s="716" t="n"/>
      <c r="D193" s="716" t="n"/>
      <c r="E193" s="716" t="n"/>
      <c r="F193" s="716" t="n"/>
      <c r="G193" s="716" t="n"/>
      <c r="H193" s="716" t="n"/>
      <c r="I193" s="716" t="n"/>
      <c r="J193" s="685" t="n"/>
      <c r="K193" s="717" t="n"/>
      <c r="L193" s="717" t="n"/>
      <c r="M193" s="717" t="n"/>
    </row>
    <row r="194" hidden="1" outlineLevel="1" ht="14" customHeight="1" s="549">
      <c r="A194" s="689" t="n"/>
      <c r="B194" s="704" t="inlineStr">
        <is>
          <t>Combustible arriendo mensual</t>
        </is>
      </c>
      <c r="C194" s="690" t="n"/>
      <c r="D194" s="690" t="n"/>
      <c r="E194" s="690" t="n"/>
      <c r="F194" s="690" t="n"/>
      <c r="G194" s="690" t="n"/>
      <c r="H194" s="690" t="n"/>
      <c r="I194" s="690" t="n"/>
      <c r="J194" s="690" t="n"/>
      <c r="K194" s="713" t="n"/>
      <c r="L194" s="713" t="n"/>
      <c r="M194" s="713" t="n"/>
    </row>
    <row r="195" hidden="1" outlineLevel="1" ht="14" customHeight="1" s="549">
      <c r="A195" s="726" t="n"/>
      <c r="B195" s="715" t="inlineStr">
        <is>
          <t>Peajes</t>
        </is>
      </c>
      <c r="C195" s="716" t="n"/>
      <c r="D195" s="716" t="n"/>
      <c r="E195" s="716" t="n"/>
      <c r="F195" s="716" t="n"/>
      <c r="G195" s="716" t="n"/>
      <c r="H195" s="716" t="n"/>
      <c r="I195" s="716" t="n"/>
      <c r="J195" s="685" t="n"/>
      <c r="K195" s="717" t="n"/>
      <c r="L195" s="717" t="n"/>
      <c r="M195" s="717" t="n"/>
    </row>
    <row r="196" hidden="1" outlineLevel="1" ht="14" customHeight="1" s="549">
      <c r="A196" s="689" t="n"/>
      <c r="B196" s="704" t="inlineStr">
        <is>
          <t xml:space="preserve">Compras de Equipos, EEPP, Otros </t>
        </is>
      </c>
      <c r="C196" s="690" t="n"/>
      <c r="D196" s="690" t="n"/>
      <c r="E196" s="690" t="n"/>
      <c r="F196" s="690" t="n"/>
      <c r="G196" s="690" t="n"/>
      <c r="H196" s="690" t="n"/>
      <c r="I196" s="690" t="n"/>
      <c r="J196" s="690" t="n"/>
      <c r="K196" s="713" t="n"/>
      <c r="L196" s="713" t="n"/>
      <c r="M196" s="713" t="n"/>
    </row>
    <row r="197" hidden="1" outlineLevel="1" ht="14" customHeight="1" s="549">
      <c r="A197" s="726" t="n"/>
      <c r="B197" s="715" t="inlineStr">
        <is>
          <t>Mensajerias (Correo de Chile)</t>
        </is>
      </c>
      <c r="C197" s="716" t="n"/>
      <c r="D197" s="716" t="n"/>
      <c r="E197" s="716" t="n"/>
      <c r="F197" s="716" t="n"/>
      <c r="G197" s="716" t="n"/>
      <c r="H197" s="716" t="n"/>
      <c r="I197" s="716" t="n"/>
      <c r="J197" s="685" t="n"/>
      <c r="K197" s="717" t="n"/>
      <c r="L197" s="717" t="n"/>
      <c r="M197" s="717" t="n"/>
    </row>
    <row r="198" hidden="1" outlineLevel="1" ht="14" customHeight="1" s="549">
      <c r="A198" s="689" t="n"/>
      <c r="B198" s="704" t="inlineStr">
        <is>
          <t>Impresión de manuales</t>
        </is>
      </c>
      <c r="C198" s="690" t="n"/>
      <c r="D198" s="690" t="n"/>
      <c r="E198" s="690" t="n"/>
      <c r="F198" s="690" t="n"/>
      <c r="G198" s="690" t="n"/>
      <c r="H198" s="690" t="n"/>
      <c r="I198" s="690" t="n"/>
      <c r="J198" s="690" t="n"/>
      <c r="K198" s="713" t="n"/>
      <c r="L198" s="713" t="n"/>
      <c r="M198" s="713" t="n"/>
    </row>
    <row r="199" hidden="1" outlineLevel="1" ht="14" customHeight="1" s="549">
      <c r="A199" s="726" t="n"/>
      <c r="B199" s="715" t="inlineStr">
        <is>
          <t>Mantención y reparación de Vehículos</t>
        </is>
      </c>
      <c r="C199" s="716" t="n"/>
      <c r="D199" s="716" t="n"/>
      <c r="E199" s="716" t="n"/>
      <c r="F199" s="716" t="n"/>
      <c r="G199" s="716" t="n"/>
      <c r="H199" s="716" t="n"/>
      <c r="I199" s="716" t="n"/>
      <c r="J199" s="685" t="n"/>
      <c r="K199" s="717" t="n"/>
      <c r="L199" s="717" t="n"/>
      <c r="M199" s="717" t="n"/>
    </row>
    <row r="200" hidden="1" outlineLevel="1" ht="14" customHeight="1" s="549">
      <c r="A200" s="689" t="n"/>
      <c r="B200" s="704" t="inlineStr">
        <is>
          <t xml:space="preserve">Otros varios </t>
        </is>
      </c>
      <c r="C200" s="690" t="n"/>
      <c r="D200" s="690" t="n"/>
      <c r="E200" s="690" t="n"/>
      <c r="F200" s="690" t="n"/>
      <c r="G200" s="690" t="n"/>
      <c r="H200" s="690" t="n"/>
      <c r="I200" s="690" t="n"/>
      <c r="J200" s="690" t="n"/>
      <c r="K200" s="713" t="n"/>
      <c r="L200" s="713" t="n"/>
      <c r="M200" s="713" t="n"/>
    </row>
    <row r="201" hidden="1" outlineLevel="1" s="549">
      <c r="A201" s="472" t="n"/>
      <c r="B201" s="473" t="n"/>
      <c r="C201" s="718" t="n"/>
      <c r="D201" s="718" t="n"/>
      <c r="E201" s="718" t="n"/>
      <c r="F201" s="718" t="n"/>
      <c r="G201" s="718" t="n"/>
      <c r="H201" s="718" t="n"/>
      <c r="I201" s="718" t="n"/>
      <c r="J201" s="719" t="n"/>
      <c r="K201" s="461" t="n"/>
      <c r="L201" s="471" t="n"/>
    </row>
    <row r="202" collapsed="1" ht="14" customHeight="1" s="549">
      <c r="A202" s="727" t="inlineStr">
        <is>
          <t>TOTAL PROYECTO</t>
        </is>
      </c>
      <c r="B202" s="728" t="n"/>
      <c r="C202" s="696">
        <f>SUM(C4:C201)</f>
        <v/>
      </c>
      <c r="D202" s="696">
        <f>SUM(D4:D201)</f>
        <v/>
      </c>
      <c r="E202" s="696">
        <f>SUM(E4:E201)</f>
        <v/>
      </c>
      <c r="F202" s="696">
        <f>SUM(F4:F201)</f>
        <v/>
      </c>
      <c r="G202" s="696">
        <f>SUM(G4:G201)</f>
        <v/>
      </c>
      <c r="H202" s="696">
        <f>SUM(H4:H201)</f>
        <v/>
      </c>
      <c r="I202" s="696">
        <f>SUM(I4:I201)</f>
        <v/>
      </c>
      <c r="J202" s="696">
        <f>+J4+J22+J40+J59+J77+J107+J166+J184</f>
        <v/>
      </c>
      <c r="K202" s="717" t="n"/>
      <c r="L202" s="717" t="n"/>
      <c r="M202" s="717" t="n"/>
    </row>
    <row r="203"/>
    <row r="204" ht="14" customHeight="1" s="549">
      <c r="A204" s="729" t="n"/>
      <c r="B204" s="681" t="n"/>
      <c r="C204" s="713" t="n"/>
      <c r="D204" s="713" t="n"/>
      <c r="E204" s="713" t="n"/>
      <c r="F204" s="713" t="n"/>
      <c r="G204" s="713" t="n"/>
      <c r="H204" s="713" t="n"/>
      <c r="I204" s="713" t="n"/>
      <c r="J204" s="690">
        <f>J202-(+'Flujo Bruto'!AJ5+'Flujo Bruto'!AJ16+'Flujo Bruto'!AJ20+'Flujo Bruto'!AJ23+'Flujo Bruto'!AJ33+'Flujo Bruto'!AJ36+'Flujo Bruto'!AJ41+'Flujo Bruto'!AJ49+'Flujo Bruto'!AJ56+'Flujo Bruto'!AJ63)</f>
        <v/>
      </c>
      <c r="K204" s="713" t="n"/>
      <c r="L204" s="690">
        <f>+J202-J184-J77-J40-J4</f>
        <v/>
      </c>
      <c r="M204" s="713" t="n"/>
    </row>
    <row r="205" ht="14" customHeight="1" s="549">
      <c r="A205" s="728" t="n"/>
      <c r="B205" s="728" t="n"/>
      <c r="C205" s="717" t="n"/>
      <c r="D205" s="717" t="n"/>
      <c r="E205" s="717" t="n"/>
      <c r="F205" s="717" t="n"/>
      <c r="G205" s="717" t="n"/>
      <c r="H205" s="717" t="n"/>
      <c r="I205" s="717" t="n"/>
      <c r="J205" s="717" t="n"/>
      <c r="K205" s="717" t="n"/>
      <c r="L205" s="692">
        <f>L204/2</f>
        <v/>
      </c>
      <c r="M205" s="717" t="inlineStr">
        <is>
          <t>50% Valorización</t>
        </is>
      </c>
    </row>
    <row r="206">
      <c r="A206" s="568" t="n"/>
    </row>
    <row r="207">
      <c r="A207" s="364" t="n"/>
      <c r="B207" s="364" t="n"/>
      <c r="C207" s="364" t="n"/>
      <c r="D207" s="364" t="n"/>
      <c r="E207" s="364" t="n"/>
      <c r="F207" s="364" t="n"/>
      <c r="G207" s="364" t="n"/>
      <c r="H207" s="364" t="n"/>
      <c r="I207" s="364" t="n"/>
      <c r="J207" s="364" t="n"/>
    </row>
    <row r="208" ht="14" customHeight="1" s="549">
      <c r="A208" s="730" t="inlineStr">
        <is>
          <t>NOTA METODOLÓGICA — CÓMO SE CONSTRUYE ESTA VALORIZACIÓN</t>
        </is>
      </c>
      <c r="B208" s="681" t="n"/>
      <c r="C208" s="713" t="n"/>
      <c r="D208" s="713" t="n"/>
      <c r="E208" s="713" t="n"/>
      <c r="F208" s="713" t="n"/>
      <c r="G208" s="713" t="n"/>
      <c r="H208" s="713" t="n"/>
      <c r="I208" s="713" t="n"/>
      <c r="J208" s="713" t="n"/>
      <c r="K208" s="713" t="n"/>
      <c r="L208" s="713" t="n"/>
      <c r="M208" s="713" t="n"/>
    </row>
    <row r="209" ht="14" customHeight="1" s="549">
      <c r="A209" s="731" t="inlineStr">
        <is>
          <t>Esta tabla traduce el presupuesto del proyecto (10 ítems del Flujo Bruto) a los 5 componentes programáticos del perfil FNDR, distribuidos mes a mes (Jul 2026–Feb 2027). Todos los valores son BRUTO con IVA. Cada peso del Flujo Bruto está asignado exactamente a un componente — sin omisiones ni dobles conteos.</t>
        </is>
      </c>
      <c r="B209" s="728" t="n"/>
      <c r="C209" s="717" t="n"/>
      <c r="D209" s="717" t="n"/>
      <c r="E209" s="717" t="n"/>
      <c r="F209" s="717" t="n"/>
      <c r="G209" s="717" t="n"/>
      <c r="H209" s="717" t="n"/>
      <c r="I209" s="717" t="n"/>
      <c r="J209" s="717" t="n"/>
      <c r="K209" s="717" t="n"/>
      <c r="L209" s="717" t="n"/>
      <c r="M209" s="717" t="n"/>
    </row>
    <row r="210" ht="15.75" customHeight="1" s="549">
      <c r="B210" s="363" t="n"/>
    </row>
    <row r="211" ht="14" customHeight="1" s="549">
      <c r="A211" s="729" t="inlineStr">
        <is>
          <t>1.  FUENTE DE DATOS — Pestaña "Flujo Bruto" (valores BRUTO con IVA)</t>
        </is>
      </c>
      <c r="B211" s="681" t="n"/>
      <c r="C211" s="713" t="n"/>
      <c r="D211" s="713" t="n"/>
      <c r="E211" s="713" t="n"/>
      <c r="F211" s="713" t="n"/>
      <c r="G211" s="713" t="n"/>
      <c r="H211" s="713" t="n"/>
      <c r="I211" s="713" t="n"/>
      <c r="J211" s="713" t="n"/>
      <c r="K211" s="713" t="n"/>
      <c r="L211" s="713" t="n"/>
      <c r="M211" s="713" t="n"/>
    </row>
    <row r="212" ht="14" customHeight="1" s="549">
      <c r="A212" s="703" t="inlineStr">
        <is>
          <t>Ítem</t>
        </is>
      </c>
      <c r="B212" s="703" t="inlineStr">
        <is>
          <t>Descripción del ítem presupuestario</t>
        </is>
      </c>
      <c r="C212" s="717" t="n"/>
      <c r="D212" s="717" t="n"/>
      <c r="E212" s="732" t="inlineStr">
        <is>
          <t>Celda ancla FB</t>
        </is>
      </c>
      <c r="F212" s="717" t="n"/>
      <c r="G212" s="732" t="inlineStr">
        <is>
          <t>Total BRUTO</t>
        </is>
      </c>
      <c r="H212" s="717" t="n"/>
      <c r="I212" s="732" t="inlineStr">
        <is>
          <t>Componente asignado</t>
        </is>
      </c>
      <c r="J212" s="717" t="n"/>
      <c r="K212" s="717" t="n"/>
      <c r="L212" s="717" t="n"/>
      <c r="M212" s="717" t="n"/>
    </row>
    <row r="213" ht="14" customHeight="1" s="549">
      <c r="A213" s="733" t="n">
        <v>1</v>
      </c>
      <c r="B213" s="694" t="inlineStr">
        <is>
          <t>Compras activables ZIMPERTEC</t>
        </is>
      </c>
      <c r="C213" s="713" t="n"/>
      <c r="D213" s="713" t="n"/>
      <c r="E213" s="690">
        <f>'Flujo Bruto'!AJ5</f>
        <v/>
      </c>
      <c r="F213" s="713" t="n"/>
      <c r="G213" s="690">
        <f>'Flujo Bruto'!AJ5</f>
        <v/>
      </c>
      <c r="H213" s="713" t="n"/>
      <c r="I213" s="713" t="inlineStr">
        <is>
          <t>C3 — Adquisición Equipos ERNC</t>
        </is>
      </c>
      <c r="J213" s="713" t="n"/>
      <c r="K213" s="713" t="n"/>
      <c r="L213" s="713" t="n"/>
      <c r="M213" s="713" t="n"/>
    </row>
    <row r="214" ht="14" customHeight="1" s="549">
      <c r="A214" s="734" t="n">
        <v>2</v>
      </c>
      <c r="B214" s="735" t="inlineStr">
        <is>
          <t>Insumos Instalación</t>
        </is>
      </c>
      <c r="C214" s="717" t="n"/>
      <c r="D214" s="717" t="n"/>
      <c r="E214" s="736">
        <f>'Flujo Bruto'!AJ16</f>
        <v/>
      </c>
      <c r="F214" s="717" t="n"/>
      <c r="G214" s="736">
        <f>'Flujo Bruto'!AJ16</f>
        <v/>
      </c>
      <c r="H214" s="717" t="n"/>
      <c r="I214" s="737" t="inlineStr">
        <is>
          <t>C4 — Logística e Instalación (Nov 2026)</t>
        </is>
      </c>
      <c r="J214" s="717" t="n"/>
      <c r="K214" s="717" t="n"/>
      <c r="L214" s="717" t="n"/>
      <c r="M214" s="717" t="n"/>
    </row>
    <row r="215" ht="14" customHeight="1" s="549">
      <c r="A215" s="733" t="n">
        <v>3</v>
      </c>
      <c r="B215" s="694" t="inlineStr">
        <is>
          <t>Personal y Servicios</t>
        </is>
      </c>
      <c r="C215" s="713" t="n"/>
      <c r="D215" s="713" t="n"/>
      <c r="E215" s="690">
        <f>'Flujo Bruto'!AJ20</f>
        <v/>
      </c>
      <c r="F215" s="713" t="n"/>
      <c r="G215" s="690">
        <f>'Flujo Bruto'!AJ20</f>
        <v/>
      </c>
      <c r="H215" s="713" t="n"/>
      <c r="I215" s="713" t="inlineStr">
        <is>
          <t>C1 (Ago 2026) + C2 (Sep 2026–Ene 2027)</t>
        </is>
      </c>
      <c r="J215" s="713" t="n"/>
      <c r="K215" s="713" t="n"/>
      <c r="L215" s="713" t="n"/>
      <c r="M215" s="713" t="n"/>
    </row>
    <row r="216" ht="14" customHeight="1" s="549">
      <c r="A216" s="734" t="n">
        <v>4</v>
      </c>
      <c r="B216" s="735" t="inlineStr">
        <is>
          <t>Servicios Profesionales</t>
        </is>
      </c>
      <c r="C216" s="717" t="n"/>
      <c r="D216" s="717" t="n"/>
      <c r="E216" s="736">
        <f>'Flujo Bruto'!AJ23</f>
        <v/>
      </c>
      <c r="F216" s="717" t="n"/>
      <c r="G216" s="736">
        <f>'Flujo Bruto'!AJ23</f>
        <v/>
      </c>
      <c r="H216" s="717" t="n"/>
      <c r="I216" s="737" t="inlineStr">
        <is>
          <t>C1 (Ago 2026) + C2 (Sep 2026–Ene 2027)</t>
        </is>
      </c>
      <c r="J216" s="717" t="n"/>
      <c r="K216" s="717" t="n"/>
      <c r="L216" s="717" t="n"/>
      <c r="M216" s="717" t="n"/>
    </row>
    <row r="217" ht="14" customHeight="1" s="549">
      <c r="A217" s="733" t="n">
        <v>5</v>
      </c>
      <c r="B217" s="694" t="inlineStr">
        <is>
          <t>Alquileres RRCC</t>
        </is>
      </c>
      <c r="C217" s="713" t="n"/>
      <c r="D217" s="713" t="n"/>
      <c r="E217" s="690">
        <f>'Flujo Bruto'!AJ33</f>
        <v/>
      </c>
      <c r="F217" s="713" t="n"/>
      <c r="G217" s="690">
        <f>'Flujo Bruto'!AJ33</f>
        <v/>
      </c>
      <c r="H217" s="713" t="n"/>
      <c r="I217" s="713" t="inlineStr">
        <is>
          <t>C4 — Logística e Instalación</t>
        </is>
      </c>
      <c r="J217" s="713" t="n"/>
      <c r="K217" s="713" t="n"/>
      <c r="L217" s="713" t="n"/>
      <c r="M217" s="713" t="n"/>
    </row>
    <row r="218" ht="14" customHeight="1" s="549">
      <c r="A218" s="734" t="n">
        <v>6</v>
      </c>
      <c r="B218" s="735" t="inlineStr">
        <is>
          <t>Alquileres Gestión Técnica</t>
        </is>
      </c>
      <c r="C218" s="717" t="n"/>
      <c r="D218" s="717" t="n"/>
      <c r="E218" s="736">
        <f>'Flujo Bruto'!AJ36</f>
        <v/>
      </c>
      <c r="F218" s="717" t="n"/>
      <c r="G218" s="736">
        <f>'Flujo Bruto'!AJ36</f>
        <v/>
      </c>
      <c r="H218" s="717" t="n"/>
      <c r="I218" s="737" t="inlineStr">
        <is>
          <t>C4 — Logística e Instalación</t>
        </is>
      </c>
      <c r="J218" s="717" t="n"/>
      <c r="K218" s="717" t="n"/>
      <c r="L218" s="717" t="n"/>
      <c r="M218" s="717" t="n"/>
    </row>
    <row r="219" ht="14" customHeight="1" s="549">
      <c r="A219" s="733" t="n">
        <v>7</v>
      </c>
      <c r="B219" s="694" t="inlineStr">
        <is>
          <t>Transporte</t>
        </is>
      </c>
      <c r="C219" s="713" t="n"/>
      <c r="D219" s="713" t="n"/>
      <c r="E219" s="690">
        <f>'Flujo Bruto'!AJ41</f>
        <v/>
      </c>
      <c r="F219" s="713" t="n"/>
      <c r="G219" s="690">
        <f>'Flujo Bruto'!AJ41</f>
        <v/>
      </c>
      <c r="H219" s="713" t="n"/>
      <c r="I219" s="713" t="inlineStr">
        <is>
          <t>C4 — Logística e Instalación</t>
        </is>
      </c>
      <c r="J219" s="713" t="n"/>
      <c r="K219" s="713" t="n"/>
      <c r="L219" s="713" t="n"/>
      <c r="M219" s="713" t="n"/>
    </row>
    <row r="220" ht="14" customHeight="1" s="549">
      <c r="A220" s="734" t="n">
        <v>8</v>
      </c>
      <c r="B220" s="735" t="inlineStr">
        <is>
          <t>Viajes RRCC</t>
        </is>
      </c>
      <c r="C220" s="717" t="n"/>
      <c r="D220" s="717" t="n"/>
      <c r="E220" s="736">
        <f>'Flujo Bruto'!AJ49</f>
        <v/>
      </c>
      <c r="F220" s="717" t="n"/>
      <c r="G220" s="736">
        <f>'Flujo Bruto'!AJ49</f>
        <v/>
      </c>
      <c r="H220" s="717" t="n"/>
      <c r="I220" s="737" t="inlineStr">
        <is>
          <t>C2 — Relacionamiento comunitario</t>
        </is>
      </c>
      <c r="J220" s="717" t="n"/>
      <c r="K220" s="717" t="n"/>
      <c r="L220" s="717" t="n"/>
      <c r="M220" s="717" t="n"/>
    </row>
    <row r="221" ht="14" customHeight="1" s="549">
      <c r="A221" s="733" t="n">
        <v>9</v>
      </c>
      <c r="B221" s="694" t="inlineStr">
        <is>
          <t>Viajes Gestión Técnica</t>
        </is>
      </c>
      <c r="C221" s="713" t="n"/>
      <c r="D221" s="713" t="n"/>
      <c r="E221" s="690">
        <f>'Flujo Bruto'!AJ56</f>
        <v/>
      </c>
      <c r="F221" s="713" t="n"/>
      <c r="G221" s="690">
        <f>'Flujo Bruto'!AJ56</f>
        <v/>
      </c>
      <c r="H221" s="713" t="n"/>
      <c r="I221" s="713" t="inlineStr">
        <is>
          <t>C4 — Logística e Instalación</t>
        </is>
      </c>
      <c r="J221" s="713" t="n"/>
      <c r="K221" s="713" t="n"/>
      <c r="L221" s="713" t="n"/>
      <c r="M221" s="713" t="n"/>
    </row>
    <row r="222" ht="14" customHeight="1" s="549">
      <c r="A222" s="734" t="n">
        <v>10</v>
      </c>
      <c r="B222" s="735" t="inlineStr">
        <is>
          <t>Gastos Varios</t>
        </is>
      </c>
      <c r="C222" s="717" t="n"/>
      <c r="D222" s="717" t="n"/>
      <c r="E222" s="736">
        <f>'Flujo Bruto'!AJ63</f>
        <v/>
      </c>
      <c r="F222" s="717" t="n"/>
      <c r="G222" s="736">
        <f>'Flujo Bruto'!AJ63</f>
        <v/>
      </c>
      <c r="H222" s="717" t="n"/>
      <c r="I222" s="737" t="inlineStr">
        <is>
          <t>C2 (Sep–Oct) + C4 (subítems 10.1–10.4) + C5 (ítem 10.5 Dic)</t>
        </is>
      </c>
      <c r="J222" s="717" t="n"/>
      <c r="K222" s="717" t="n"/>
      <c r="L222" s="717" t="n"/>
      <c r="M222" s="717" t="n"/>
    </row>
    <row r="223" ht="14" customHeight="1" s="549">
      <c r="A223" s="729" t="inlineStr">
        <is>
          <t>TOTAL FLUJO BRUTO — fuente de verdad del proyecto</t>
        </is>
      </c>
      <c r="B223" s="681" t="n"/>
      <c r="C223" s="713" t="n"/>
      <c r="D223" s="713" t="n"/>
      <c r="E223" s="690">
        <f>'Flujo Bruto'!AJ5+'Flujo Bruto'!AJ16+'Flujo Bruto'!AJ20+'Flujo Bruto'!AJ23+'Flujo Bruto'!AJ33+'Flujo Bruto'!AJ36+'Flujo Bruto'!AJ41+'Flujo Bruto'!AJ49+'Flujo Bruto'!AJ56+'Flujo Bruto'!AJ63</f>
        <v/>
      </c>
      <c r="F223" s="713" t="n"/>
      <c r="G223" s="713" t="inlineStr">
        <is>
          <t>← Debe coincidir con TOTAL PROYECTO fila 14 y con el validador en $0</t>
        </is>
      </c>
      <c r="H223" s="713" t="n"/>
      <c r="I223" s="713" t="n"/>
      <c r="J223" s="713" t="n"/>
      <c r="K223" s="713" t="n"/>
      <c r="L223" s="713" t="n"/>
      <c r="M223" s="713" t="n"/>
    </row>
    <row r="224"/>
    <row r="225" ht="14" customHeight="1" s="549">
      <c r="A225" s="738" t="inlineStr">
        <is>
          <t>2.  REGLAS DE ASIGNACIÓN — cómo se asigna cada ítem a cada componente</t>
        </is>
      </c>
      <c r="B225" s="728" t="n"/>
      <c r="C225" s="717" t="n"/>
      <c r="D225" s="717" t="n"/>
      <c r="E225" s="717" t="n"/>
      <c r="F225" s="717" t="n"/>
      <c r="G225" s="717" t="n"/>
      <c r="H225" s="717" t="n"/>
      <c r="I225" s="717" t="n"/>
      <c r="J225" s="717" t="n"/>
      <c r="K225" s="717" t="n"/>
      <c r="L225" s="717" t="n"/>
      <c r="M225" s="717" t="n"/>
    </row>
    <row r="226" ht="14" customHeight="1" s="549">
      <c r="A226" s="730" t="inlineStr">
        <is>
          <t>C1</t>
        </is>
      </c>
      <c r="B226" s="694" t="inlineStr">
        <is>
          <t>C1 — Diagnóstico y catastro</t>
        </is>
      </c>
      <c r="C226" s="713" t="n"/>
      <c r="D226" s="713" t="inlineStr">
        <is>
          <t>Ítems 3 y 4 del mes de Ago 2026 únicamente (Personal + Honorarios). Corresponde al período de revisión en gabinete previo a la salida a terreno.</t>
        </is>
      </c>
      <c r="E226" s="713" t="n"/>
      <c r="F226" s="713" t="n"/>
      <c r="G226" s="713" t="n"/>
      <c r="H226" s="713" t="n"/>
      <c r="I226" s="713" t="n"/>
      <c r="J226" s="713" t="n"/>
      <c r="K226" s="713" t="n"/>
      <c r="L226" s="713" t="n"/>
      <c r="M226" s="713" t="n"/>
    </row>
    <row r="227" ht="14" customHeight="1" s="549">
      <c r="A227" s="739" t="inlineStr">
        <is>
          <t>C2</t>
        </is>
      </c>
      <c r="B227" s="740" t="inlineStr">
        <is>
          <t>C2 — Relacionamiento comunitario e incorporación</t>
        </is>
      </c>
      <c r="C227" s="717" t="n"/>
      <c r="D227" s="737" t="inlineStr">
        <is>
          <t>Ítems 3, 4 y 8 meses Sep 2026–Ene 2027 (Personal, Honorarios, Viajes RRCC). Cubre toda la operación de terreno comunitario: sensibilización, visitas e incorporación formal de beneficiarios.</t>
        </is>
      </c>
      <c r="E227" s="717" t="n"/>
      <c r="F227" s="717" t="n"/>
      <c r="G227" s="717" t="n"/>
      <c r="H227" s="717" t="n"/>
      <c r="I227" s="717" t="n"/>
      <c r="J227" s="717" t="n"/>
      <c r="K227" s="717" t="n"/>
      <c r="L227" s="717" t="n"/>
      <c r="M227" s="717" t="n"/>
    </row>
    <row r="228" ht="14" customHeight="1" s="549">
      <c r="A228" s="730" t="inlineStr">
        <is>
          <t>C3</t>
        </is>
      </c>
      <c r="B228" s="694" t="inlineStr">
        <is>
          <t>C3 — Adquisición de Equipos ERNC</t>
        </is>
      </c>
      <c r="C228" s="713" t="n"/>
      <c r="D228" s="713" t="inlineStr">
        <is>
          <t>Ítem 1 completo: sistemas AC, paneles, lámparas, flete internacional, grúas en origen y destino, transporte desconsolidado. 100% del ítem 1.</t>
        </is>
      </c>
      <c r="E228" s="713" t="n"/>
      <c r="F228" s="713" t="n"/>
      <c r="G228" s="713" t="n"/>
      <c r="H228" s="713" t="n"/>
      <c r="I228" s="713" t="n"/>
      <c r="J228" s="713" t="n"/>
      <c r="K228" s="713" t="n"/>
      <c r="L228" s="713" t="n"/>
      <c r="M228" s="713" t="n"/>
    </row>
    <row r="229" ht="14" customHeight="1" s="549">
      <c r="A229" s="741" t="inlineStr">
        <is>
          <t>C4</t>
        </is>
      </c>
      <c r="B229" s="742" t="inlineStr">
        <is>
          <t>C4 — Logística, instalación y puesta en marcha</t>
        </is>
      </c>
      <c r="C229" s="717" t="n"/>
      <c r="D229" s="737" t="inlineStr">
        <is>
          <t>Ítems 2, 5, 6, 7, 9 y subítems 10.1–10.4. Cubre insumos de instalación, alquileres de vehículos (RRCC y Gestión Técnica), transporte, viajes de cuadrilla técnica y gastos operativos de campo.</t>
        </is>
      </c>
      <c r="E229" s="717" t="n"/>
      <c r="F229" s="717" t="n"/>
      <c r="G229" s="717" t="n"/>
      <c r="H229" s="717" t="n"/>
      <c r="I229" s="717" t="n"/>
      <c r="J229" s="717" t="n"/>
      <c r="K229" s="717" t="n"/>
      <c r="L229" s="717" t="n"/>
      <c r="M229" s="717" t="n"/>
    </row>
    <row r="230" ht="14" customHeight="1" s="549">
      <c r="A230" s="730" t="inlineStr">
        <is>
          <t>C5</t>
        </is>
      </c>
      <c r="B230" s="694" t="inlineStr">
        <is>
          <t>C5 — Sostenibilidad operativa y financiera</t>
        </is>
      </c>
      <c r="C230" s="713" t="n"/>
      <c r="D230" s="713" t="inlineStr">
        <is>
          <t>Ítem 10.5 (Gastos Varios, Dic 2026): desembolso asociado a la implementación del modelo de cuota social y O&amp;M. Único pago de este componente.</t>
        </is>
      </c>
      <c r="E230" s="713" t="n"/>
      <c r="F230" s="713" t="n"/>
      <c r="G230" s="713" t="n"/>
      <c r="H230" s="713" t="n"/>
      <c r="I230" s="713" t="n"/>
      <c r="J230" s="713" t="n"/>
      <c r="K230" s="713" t="n"/>
      <c r="L230" s="713" t="n"/>
      <c r="M230" s="713" t="n"/>
    </row>
    <row r="231"/>
    <row r="232" ht="14" customHeight="1" s="549">
      <c r="A232" s="738" t="inlineStr">
        <is>
          <t>3.  CÓMO LEER EL VALIDADOR DE CONCORDANCIA (fila 16, col K)</t>
        </is>
      </c>
      <c r="B232" s="728" t="n"/>
      <c r="C232" s="717" t="n"/>
      <c r="D232" s="717" t="n"/>
      <c r="E232" s="717" t="n"/>
      <c r="F232" s="717" t="n"/>
      <c r="G232" s="717" t="n"/>
      <c r="H232" s="717" t="n"/>
      <c r="I232" s="717" t="n"/>
      <c r="J232" s="717" t="n"/>
      <c r="K232" s="717" t="n"/>
      <c r="L232" s="717" t="n"/>
      <c r="M232" s="717" t="n"/>
    </row>
    <row r="233" ht="14" customHeight="1" s="549">
      <c r="A233" s="733" t="inlineStr">
        <is>
          <t>"-"  o  $0</t>
        </is>
      </c>
      <c r="B233" s="681" t="n"/>
      <c r="C233" s="713" t="inlineStr">
        <is>
          <t>La suma de los 5 componentes coincide exactamente con el Total Flujo Bruto. Distribución correcta: ningún gasto omitido, ningún doble conteo.</t>
        </is>
      </c>
      <c r="D233" s="713" t="n"/>
      <c r="E233" s="713" t="n"/>
      <c r="F233" s="713" t="n"/>
      <c r="G233" s="713" t="n"/>
      <c r="H233" s="713" t="n"/>
      <c r="I233" s="713" t="n"/>
      <c r="J233" s="713" t="n"/>
      <c r="K233" s="713" t="n"/>
      <c r="L233" s="713" t="n"/>
      <c r="M233" s="713" t="n"/>
    </row>
    <row r="234" ht="14" customHeight="1" s="549">
      <c r="A234" s="743" t="inlineStr">
        <is>
          <t>Valor positivo (+)</t>
        </is>
      </c>
      <c r="B234" s="728" t="n"/>
      <c r="C234" s="744" t="inlineStr">
        <is>
          <t>La Valorización suma MÁS que el Flujo Bruto. Algún gasto está asignado a más de un componente (doble conteo). Revisar las fórmulas de componentes.</t>
        </is>
      </c>
      <c r="D234" s="717" t="n"/>
      <c r="E234" s="717" t="n"/>
      <c r="F234" s="717" t="n"/>
      <c r="G234" s="717" t="n"/>
      <c r="H234" s="717" t="n"/>
      <c r="I234" s="717" t="n"/>
      <c r="J234" s="717" t="n"/>
      <c r="K234" s="717" t="n"/>
      <c r="L234" s="717" t="n"/>
      <c r="M234" s="717" t="n"/>
    </row>
    <row r="235" ht="14" customHeight="1" s="549">
      <c r="A235" s="733" t="inlineStr">
        <is>
          <t>Valor negativo (−)</t>
        </is>
      </c>
      <c r="B235" s="681" t="n"/>
      <c r="C235" s="713" t="inlineStr">
        <is>
          <t>La Valorización suma MENOS que el Flujo Bruto. Algún ítem o mes no está incluido en ningún componente (gasto sin asignar). Revisar cobertura.</t>
        </is>
      </c>
      <c r="D235" s="713" t="n"/>
      <c r="E235" s="713" t="n"/>
      <c r="F235" s="713" t="n"/>
      <c r="G235" s="713" t="n"/>
      <c r="H235" s="713" t="n"/>
      <c r="I235" s="713" t="n"/>
      <c r="J235" s="713" t="n"/>
      <c r="K235" s="713" t="n"/>
      <c r="L235" s="713" t="n"/>
      <c r="M235" s="713" t="n"/>
    </row>
    <row r="236"/>
    <row r="237" ht="14" customHeight="1" s="549">
      <c r="A237" s="745" t="inlineStr">
        <is>
          <t>⚠  Para ajustar: modificar las fórmulas directamente en filas 4, 6, 8, 10, 12 (filas de componentes). No ingresar valores manuales. Corrección aplicada 25/05/2026: eliminado doble conteo ítem 10 en C2; incorporados ítems 2 y 6 faltantes en C4.</t>
        </is>
      </c>
      <c r="B237" s="728" t="n"/>
      <c r="C237" s="717" t="n"/>
      <c r="D237" s="717" t="n"/>
      <c r="E237" s="717" t="n"/>
      <c r="F237" s="717" t="n"/>
      <c r="G237" s="717" t="n"/>
      <c r="H237" s="717" t="n"/>
      <c r="I237" s="717" t="n"/>
      <c r="J237" s="717" t="n"/>
      <c r="K237" s="717" t="n"/>
      <c r="L237" s="717" t="n"/>
      <c r="M237" s="717" t="n"/>
    </row>
  </sheetData>
  <mergeCells count="74">
    <mergeCell ref="E214:F214"/>
    <mergeCell ref="D230:J230"/>
    <mergeCell ref="G214:H214"/>
    <mergeCell ref="B227:C227"/>
    <mergeCell ref="C235:J235"/>
    <mergeCell ref="A206:J206"/>
    <mergeCell ref="I222:J222"/>
    <mergeCell ref="I217:J217"/>
    <mergeCell ref="E213:F213"/>
    <mergeCell ref="I213:J213"/>
    <mergeCell ref="A209:J209"/>
    <mergeCell ref="E219:F219"/>
    <mergeCell ref="C234:J234"/>
    <mergeCell ref="G219:H219"/>
    <mergeCell ref="D226:J226"/>
    <mergeCell ref="E215:F215"/>
    <mergeCell ref="B228:C228"/>
    <mergeCell ref="I218:J218"/>
    <mergeCell ref="D228:J228"/>
    <mergeCell ref="B217:D217"/>
    <mergeCell ref="A211:J211"/>
    <mergeCell ref="G223:J223"/>
    <mergeCell ref="B229:C229"/>
    <mergeCell ref="E221:F221"/>
    <mergeCell ref="I212:J212"/>
    <mergeCell ref="I221:J221"/>
    <mergeCell ref="I215:J215"/>
    <mergeCell ref="A232:J232"/>
    <mergeCell ref="A233:B233"/>
    <mergeCell ref="E220:F220"/>
    <mergeCell ref="G220:H220"/>
    <mergeCell ref="I214:J214"/>
    <mergeCell ref="I220:J220"/>
    <mergeCell ref="A225:J225"/>
    <mergeCell ref="B222:D222"/>
    <mergeCell ref="A1:J1"/>
    <mergeCell ref="B213:D213"/>
    <mergeCell ref="A1:M1"/>
    <mergeCell ref="B216:D216"/>
    <mergeCell ref="A235:B235"/>
    <mergeCell ref="B212:D212"/>
    <mergeCell ref="A204:B204"/>
    <mergeCell ref="E222:F222"/>
    <mergeCell ref="G222:H222"/>
    <mergeCell ref="A237:J237"/>
    <mergeCell ref="B221:D221"/>
    <mergeCell ref="D229:J229"/>
    <mergeCell ref="E216:F216"/>
    <mergeCell ref="B226:C226"/>
    <mergeCell ref="B230:C230"/>
    <mergeCell ref="G216:H216"/>
    <mergeCell ref="A234:B234"/>
    <mergeCell ref="I216:J216"/>
    <mergeCell ref="I219:J219"/>
    <mergeCell ref="B218:D218"/>
    <mergeCell ref="G215:H215"/>
    <mergeCell ref="A208:J208"/>
    <mergeCell ref="C233:J233"/>
    <mergeCell ref="E218:F218"/>
    <mergeCell ref="G218:H218"/>
    <mergeCell ref="G213:H213"/>
    <mergeCell ref="B215:D215"/>
    <mergeCell ref="G221:H221"/>
    <mergeCell ref="A223:D223"/>
    <mergeCell ref="E212:F212"/>
    <mergeCell ref="G212:H212"/>
    <mergeCell ref="B220:D220"/>
    <mergeCell ref="B214:D214"/>
    <mergeCell ref="A202:B202"/>
    <mergeCell ref="E217:F217"/>
    <mergeCell ref="B219:D219"/>
    <mergeCell ref="G217:H217"/>
    <mergeCell ref="D227:J227"/>
    <mergeCell ref="E223:F223"/>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F64"/>
  <sheetViews>
    <sheetView showGridLines="0" zoomScaleNormal="100" workbookViewId="0">
      <selection activeCell="B20" sqref="B20"/>
    </sheetView>
  </sheetViews>
  <sheetFormatPr baseColWidth="10" defaultColWidth="8.7109375" defaultRowHeight="15"/>
  <cols>
    <col width="47" customWidth="1" style="549" min="1" max="1"/>
    <col width="26" customWidth="1" style="549" min="2" max="2"/>
    <col width="19" customWidth="1" style="549" min="3" max="3"/>
    <col width="47" customWidth="1" style="549" min="4" max="4"/>
    <col width="47" bestFit="1" customWidth="1" style="549" min="5" max="5"/>
    <col width="10" customWidth="1" style="549" min="6" max="6"/>
  </cols>
  <sheetData>
    <row r="1" ht="20" customHeight="1" s="549">
      <c r="A1" s="746" t="inlineStr">
        <is>
          <t>CARÁTULA — LUZ EN CASA · GORE COQUIMBO</t>
        </is>
      </c>
    </row>
    <row r="2" ht="21" customHeight="1" s="549"/>
    <row r="3">
      <c r="A3" s="550" t="inlineStr">
        <is>
          <t>LUZ EN CASA · GORE COQUIMBO</t>
        </is>
      </c>
    </row>
    <row r="4">
      <c r="A4" s="548" t="inlineStr">
        <is>
          <t>Fundación acciona.org  ·  Financiamiento FNDR  ·  75 sistemas FV domiciliarios</t>
        </is>
      </c>
    </row>
    <row r="5">
      <c r="A5" s="2" t="n"/>
      <c r="B5" s="2" t="n"/>
      <c r="C5" s="2" t="n"/>
      <c r="D5" s="2" t="n"/>
      <c r="E5" s="2" t="n"/>
      <c r="F5" s="2" t="n"/>
    </row>
    <row r="6" ht="24" customHeight="1" s="549">
      <c r="A6" s="747" t="n"/>
      <c r="B6" s="747" t="inlineStr">
        <is>
          <t>Proyecto</t>
        </is>
      </c>
      <c r="C6" s="747" t="n"/>
      <c r="D6" s="747" t="inlineStr">
        <is>
          <t>Luz en Casa — Electrificación rural fotovoltaica</t>
        </is>
      </c>
      <c r="E6" s="747" t="n"/>
      <c r="F6" s="747" t="n"/>
    </row>
    <row r="7" ht="14" customHeight="1" s="549">
      <c r="A7" s="681" t="n"/>
      <c r="B7" s="713" t="inlineStr">
        <is>
          <t>Financiador</t>
        </is>
      </c>
      <c r="C7" s="681" t="n"/>
      <c r="D7" s="729" t="inlineStr">
        <is>
          <t>Gobierno Regional de Coquimbo (GORE) — FNDR Subt. 33</t>
        </is>
      </c>
      <c r="E7" s="681" t="n"/>
      <c r="F7" s="681" t="n"/>
    </row>
    <row r="8" ht="14" customHeight="1" s="549">
      <c r="A8" s="686" t="n"/>
      <c r="B8" s="748" t="inlineStr">
        <is>
          <t>Ejecutor</t>
        </is>
      </c>
      <c r="C8" s="686" t="n"/>
      <c r="D8" s="749" t="inlineStr">
        <is>
          <t>Fundación acciona.org</t>
        </is>
      </c>
      <c r="E8" s="686" t="n"/>
      <c r="F8" s="686" t="n"/>
    </row>
    <row r="9" ht="14" customHeight="1" s="549">
      <c r="A9" s="681" t="n"/>
      <c r="B9" s="713" t="inlineStr">
        <is>
          <t>Responsable</t>
        </is>
      </c>
      <c r="C9" s="681" t="n"/>
      <c r="D9" s="729" t="inlineStr">
        <is>
          <t>Agustín Delgado Godoy — Project Manager</t>
        </is>
      </c>
      <c r="E9" s="681" t="n"/>
      <c r="F9" s="681" t="n"/>
    </row>
    <row r="10" ht="14" customHeight="1" s="549">
      <c r="A10" s="686" t="n"/>
      <c r="B10" s="748" t="inlineStr">
        <is>
          <t>N° equipos</t>
        </is>
      </c>
      <c r="C10" s="686" t="n"/>
      <c r="D10" s="749" t="inlineStr">
        <is>
          <t>75 sistemas SHS AC (Zimpertec GmbH, Alemania)</t>
        </is>
      </c>
      <c r="E10" s="686" t="n"/>
      <c r="F10" s="686" t="n"/>
    </row>
    <row r="11" ht="14" customHeight="1" s="549">
      <c r="A11" s="681" t="n"/>
      <c r="B11" s="713" t="inlineStr">
        <is>
          <t>Período ejecución</t>
        </is>
      </c>
      <c r="C11" s="681" t="n"/>
      <c r="D11" s="729" t="inlineStr">
        <is>
          <t>Julio 2026 – Febrero 2027 (instalaciones)</t>
        </is>
      </c>
      <c r="E11" s="681" t="n"/>
      <c r="F11" s="681" t="n"/>
    </row>
    <row r="12" ht="14" customHeight="1" s="549">
      <c r="A12" s="686" t="n"/>
      <c r="B12" s="748" t="inlineStr">
        <is>
          <t>Cierre administrativo</t>
        </is>
      </c>
      <c r="C12" s="686" t="n"/>
      <c r="D12" s="749" t="inlineStr">
        <is>
          <t>Junio 2027</t>
        </is>
      </c>
      <c r="E12" s="686" t="n"/>
      <c r="F12" s="686" t="n"/>
    </row>
    <row r="13" ht="14" customHeight="1" s="549">
      <c r="A13" s="681" t="n"/>
      <c r="B13" s="713" t="inlineStr">
        <is>
          <t>Aporte GORE</t>
        </is>
      </c>
      <c r="C13" s="681" t="n"/>
      <c r="D13" s="729" t="inlineStr">
        <is>
          <t>$170.000.000 CLP (tope convenio)</t>
        </is>
      </c>
      <c r="E13" s="681" t="n"/>
      <c r="F13" s="681" t="n"/>
    </row>
    <row r="14" ht="14" customHeight="1" s="549">
      <c r="A14" s="686" t="n"/>
      <c r="B14" s="748" t="inlineStr">
        <is>
          <t>Total proyecto NETO</t>
        </is>
      </c>
      <c r="C14" s="686" t="n"/>
      <c r="D14" s="749" t="inlineStr">
        <is>
          <t>$278.551.000 CLP</t>
        </is>
      </c>
      <c r="E14" s="686" t="n"/>
      <c r="F14" s="686" t="n"/>
    </row>
    <row r="15" ht="14" customHeight="1" s="549">
      <c r="A15" s="681" t="n"/>
      <c r="B15" s="713" t="inlineStr">
        <is>
          <t>Total proyecto BRUTO</t>
        </is>
      </c>
      <c r="C15" s="681" t="n"/>
      <c r="D15" s="729" t="inlineStr">
        <is>
          <t>$338.684.840 CLP  (con IVA 19%)</t>
        </is>
      </c>
      <c r="E15" s="681" t="n"/>
      <c r="F15" s="681" t="n"/>
    </row>
    <row r="16"/>
    <row r="17"/>
    <row r="18" ht="14" customHeight="1" s="549">
      <c r="A18" s="749" t="inlineStr">
        <is>
          <t xml:space="preserve">  ÍNDICE DE PESTAÑAS — Haz clic en el nombre para ir directamente</t>
        </is>
      </c>
      <c r="B18" s="686" t="n"/>
      <c r="C18" s="686" t="n"/>
      <c r="D18" s="686" t="n"/>
      <c r="E18" s="686" t="n"/>
      <c r="F18" s="686" t="n"/>
    </row>
    <row r="19">
      <c r="A19" s="2" t="n"/>
      <c r="B19" s="2" t="n"/>
      <c r="C19" s="2" t="n"/>
      <c r="D19" s="2" t="n"/>
      <c r="E19" s="2" t="n"/>
      <c r="F19" s="2" t="n"/>
    </row>
    <row r="20" ht="14" customHeight="1" s="549">
      <c r="A20" s="733" t="n"/>
      <c r="B20" s="733" t="inlineStr">
        <is>
          <t>Pestaña (clic para ir)</t>
        </is>
      </c>
      <c r="C20" s="733" t="inlineStr">
        <is>
          <t>Categoría</t>
        </is>
      </c>
      <c r="D20" s="733" t="inlineStr">
        <is>
          <t>Descripción y contenido</t>
        </is>
      </c>
      <c r="E20" s="733" t="inlineStr">
        <is>
          <t>Notas / Responsable</t>
        </is>
      </c>
      <c r="F20" s="681" t="n"/>
    </row>
    <row r="21" ht="14" customHeight="1" s="549">
      <c r="A21" s="686" t="n"/>
      <c r="B21" s="750" t="inlineStr">
        <is>
          <t>→  Supuestos</t>
        </is>
      </c>
      <c r="C21" s="751" t="inlineStr">
        <is>
          <t>Modelo financiero</t>
        </is>
      </c>
      <c r="D21" s="752" t="inlineStr">
        <is>
          <t>Parámetros base del modelo: cantidad de equipos (75), tasa de cambio USD/CLP, precios unitarios, factores de distribución mensual (0.3 / 0.5 / 0.2). Celda de control central del modelo.</t>
        </is>
      </c>
      <c r="E21" s="752" t="inlineStr">
        <is>
          <t>Edición: Agustín D.</t>
        </is>
      </c>
      <c r="F21" s="686" t="n"/>
    </row>
    <row r="22" ht="14" customHeight="1" s="549">
      <c r="A22" s="681" t="n"/>
      <c r="B22" s="753" t="inlineStr">
        <is>
          <t>→  Flujo Neto</t>
        </is>
      </c>
      <c r="C22" s="754" t="inlineStr">
        <is>
          <t>Modelo financiero</t>
        </is>
      </c>
      <c r="D22" s="755" t="inlineStr">
        <is>
          <t>Presupuesto mensual en valores NETO (sin IVA). 10 grupos de gasto (ítems 1–10), distribución mes a mes Ago 2026–Feb 2027. Total NETO: $278.551.000. Fuente de Analítica y General GORE.</t>
        </is>
      </c>
      <c r="E22" s="755" t="inlineStr">
        <is>
          <t>Solo lectura — fórmulas vinculadas a Supuestos</t>
        </is>
      </c>
      <c r="F22" s="681" t="n"/>
    </row>
    <row r="23" ht="14" customHeight="1" s="549">
      <c r="A23" s="686" t="n"/>
      <c r="B23" s="750" t="inlineStr">
        <is>
          <t>→  Flujo Bruto</t>
        </is>
      </c>
      <c r="C23" s="751" t="inlineStr">
        <is>
          <t>Modelo financiero</t>
        </is>
      </c>
      <c r="D23" s="752" t="inlineStr">
        <is>
          <t>Presupuesto mensual en valores BRUTO (con IVA 19%). Misma estructura que Flujo Neto. Total BRUTO: $338.684.840. Fuente de Cashflow y General GORE.</t>
        </is>
      </c>
      <c r="E23" s="752" t="inlineStr">
        <is>
          <t>Solo lectura — fórmulas vinculadas a Supuestos</t>
        </is>
      </c>
      <c r="F23" s="686" t="n"/>
    </row>
    <row r="24" ht="14" customHeight="1" s="549">
      <c r="A24" s="681" t="n"/>
      <c r="B24" s="753" t="inlineStr">
        <is>
          <t>→  General GORE</t>
        </is>
      </c>
      <c r="C24" s="754" t="inlineStr">
        <is>
          <t>Modelo financiero</t>
        </is>
      </c>
      <c r="D24" s="755" t="inlineStr">
        <is>
          <t>Resumen ejecutivo del proyecto para presentación GORE. Cuadro de fuentes y usos, aporte FNDR vs Fundación, total por partida presupuestaria.</t>
        </is>
      </c>
      <c r="E24" s="755" t="inlineStr">
        <is>
          <t>Agustín D. / GORE</t>
        </is>
      </c>
      <c r="F24" s="681" t="n"/>
    </row>
    <row r="25" ht="14" customHeight="1" s="549">
      <c r="A25" s="686" t="n"/>
      <c r="B25" s="750" t="inlineStr">
        <is>
          <t>→  Carta Gantt</t>
        </is>
      </c>
      <c r="C25" s="751" t="inlineStr">
        <is>
          <t>Planificación</t>
        </is>
      </c>
      <c r="D25" s="752" t="inlineStr">
        <is>
          <t>Cronograma de 9 fases (jul 2026–jun 2027): gestión, compra, importación, contratación, materiales, logística, instalación (75 uds en 3 lotes), rendición y cierre. 42 actividades y 5 hitos.</t>
        </is>
      </c>
      <c r="E25" s="752" t="inlineStr">
        <is>
          <t>v1.5 — Actualizar al firmar convenio</t>
        </is>
      </c>
      <c r="F25" s="686" t="n"/>
    </row>
    <row r="26" ht="14" customHeight="1" s="549">
      <c r="A26" s="681" t="n"/>
      <c r="B26" s="753" t="inlineStr">
        <is>
          <t>→  Antecedentes Programa</t>
        </is>
      </c>
      <c r="C26" s="754" t="inlineStr">
        <is>
          <t>Contexto</t>
        </is>
      </c>
      <c r="D26" s="755" t="inlineStr">
        <is>
          <t>Descripción del programa Luz en Casa: historia, piloto 2021, expansión regional, forma de trabajo, descripción técnica de equipos SHS AC, alcance de instalación y proceso formal TE-1.</t>
        </is>
      </c>
      <c r="E26" s="755" t="inlineStr">
        <is>
          <t>Referencia — no editar</t>
        </is>
      </c>
      <c r="F26" s="681" t="n"/>
    </row>
    <row r="27" ht="14" customHeight="1" s="549">
      <c r="A27" s="686" t="n"/>
      <c r="B27" s="750" t="inlineStr">
        <is>
          <t>→  Planilla SISREC</t>
        </is>
      </c>
      <c r="C27" s="751" t="inlineStr">
        <is>
          <t>Rendición</t>
        </is>
      </c>
      <c r="D27" s="752" t="inlineStr">
        <is>
          <t>Plantilla mensual de rendición electrónica (SISREC). Una fila por documento (factura / boleta / BH). Campos: N° doc, RUT proveedor, glosa, analítica, tipo doc, montos NETO/IVA/BRUTO, estado.</t>
        </is>
      </c>
      <c r="E27" s="752" t="inlineStr">
        <is>
          <t>Apoyo Financiero — completar mensualmente</t>
        </is>
      </c>
      <c r="F27" s="686" t="n"/>
    </row>
    <row r="28" ht="14" customHeight="1" s="549">
      <c r="A28" s="681" t="n"/>
      <c r="B28" s="753" t="inlineStr">
        <is>
          <t>→  Rendición GORE</t>
        </is>
      </c>
      <c r="C28" s="754" t="inlineStr">
        <is>
          <t>Rendición</t>
        </is>
      </c>
      <c r="D28" s="755" t="inlineStr">
        <is>
          <t>Formato de informe de rendición hacia GORE Coquimbo. Carta conductora, conciliación bancaria, cuadro de gastos acumulados vs cuota.</t>
        </is>
      </c>
      <c r="E28" s="755" t="inlineStr">
        <is>
          <t>Apoyo Financiero / Agustín D.</t>
        </is>
      </c>
      <c r="F28" s="681" t="n"/>
    </row>
    <row r="29" ht="14" customHeight="1" s="549">
      <c r="A29" s="686" t="n"/>
      <c r="B29" s="750" t="inlineStr">
        <is>
          <t>→  Tabla Calculo Sueldo</t>
        </is>
      </c>
      <c r="C29" s="751" t="inlineStr">
        <is>
          <t>Auxiliar</t>
        </is>
      </c>
      <c r="D29" s="752" t="inlineStr">
        <is>
          <t>Tabla auxiliar de costo empresa para personal en planilla. Cotizaciones previsionales, AFP, salud, seguro cesantía. Alimenta ítem 3.1 Planilla Actual del Flujo Neto.</t>
        </is>
      </c>
      <c r="E29" s="752" t="inlineStr">
        <is>
          <t>Referencia — no editar directamente</t>
        </is>
      </c>
      <c r="F29" s="686" t="n"/>
    </row>
    <row r="30" ht="14" customHeight="1" s="549">
      <c r="A30" s="681" t="n"/>
      <c r="B30" s="753" t="inlineStr">
        <is>
          <t>→  Guía Maestra</t>
        </is>
      </c>
      <c r="C30" s="754" t="inlineStr">
        <is>
          <t>Diagnóstico</t>
        </is>
      </c>
      <c r="D30" s="755" t="inlineStr">
        <is>
          <t>Mapa completo del modelo: pestañas, roles, editabilidad, dependencias. Tabla ítem a código analítica a cashflow. Control de totales y reglas de edición.</t>
        </is>
      </c>
      <c r="E30" s="755" t="inlineStr">
        <is>
          <t>Lectura obligatoria antes de editar</t>
        </is>
      </c>
      <c r="F30" s="681" t="n"/>
    </row>
    <row r="31" ht="14" customHeight="1" s="549">
      <c r="A31" s="686" t="n"/>
      <c r="B31" s="750" t="inlineStr">
        <is>
          <t>→  Diagnóstico Vínculos</t>
        </is>
      </c>
      <c r="C31" s="751" t="inlineStr">
        <is>
          <t>Diagnóstico</t>
        </is>
      </c>
      <c r="D31" s="752" t="inlineStr">
        <is>
          <t>Auditoría de vínculos rotos entre pestañas. Lista de celdas con errores, causa y acción correctiva.</t>
        </is>
      </c>
      <c r="E31" s="752" t="inlineStr">
        <is>
          <t>Actualizar en cada versión</t>
        </is>
      </c>
      <c r="F31" s="686" t="n"/>
    </row>
    <row r="32" ht="14" customHeight="1" s="549">
      <c r="A32" s="681" t="n"/>
      <c r="B32" s="753" t="inlineStr">
        <is>
          <t>→  Analitica</t>
        </is>
      </c>
      <c r="C32" s="754" t="inlineStr">
        <is>
          <t>Auxiliar</t>
        </is>
      </c>
      <c r="D32" s="755" t="inlineStr">
        <is>
          <t>Analítica mensual consolidada del sistema ACCIONA. Budget vs Ejecutado vs Simulación. Presenta errores de named ranges corporativos que no afectan los cálculos financieros del proyecto.</t>
        </is>
      </c>
      <c r="E32" s="755" t="inlineStr">
        <is>
          <t>Sistema ACCIONA — no editar</t>
        </is>
      </c>
      <c r="F32" s="681" t="n"/>
    </row>
    <row r="33" ht="14" customHeight="1" s="549">
      <c r="A33" s="686" t="n"/>
      <c r="B33" s="750" t="inlineStr">
        <is>
          <t>→  Cashflow</t>
        </is>
      </c>
      <c r="C33" s="751" t="inlineStr">
        <is>
          <t>Auxiliar</t>
        </is>
      </c>
      <c r="D33" s="752" t="inlineStr">
        <is>
          <t>Cashflow mensual del proyecto. Cobros y pagos por categoría. Vinculado a Flujo Bruto. Columna de desviación inactiva hasta ingresar valores de Budget.</t>
        </is>
      </c>
      <c r="E33" s="752" t="inlineStr">
        <is>
          <t>Sistema ACCIONA — no editar</t>
        </is>
      </c>
      <c r="F33" s="686" t="n"/>
    </row>
    <row r="34"/>
    <row r="35"/>
    <row r="36" ht="14" customHeight="1" s="549">
      <c r="A36" s="729" t="inlineStr">
        <is>
          <t xml:space="preserve">  CONTROL DE REVISIONES</t>
        </is>
      </c>
      <c r="B36" s="681" t="n"/>
      <c r="C36" s="681" t="n"/>
      <c r="D36" s="681" t="n"/>
      <c r="E36" s="681" t="n"/>
      <c r="F36" s="681" t="n"/>
    </row>
    <row r="37">
      <c r="A37" s="2" t="n"/>
      <c r="B37" s="2" t="n"/>
      <c r="C37" s="2" t="n"/>
      <c r="D37" s="2" t="n"/>
      <c r="E37" s="2" t="n"/>
      <c r="F37" s="2" t="n"/>
    </row>
    <row r="38" ht="14" customHeight="1" s="549">
      <c r="A38" s="756" t="n"/>
      <c r="B38" s="756" t="inlineStr">
        <is>
          <t>Versión</t>
        </is>
      </c>
      <c r="C38" s="756" t="inlineStr">
        <is>
          <t>Fecha</t>
        </is>
      </c>
      <c r="D38" s="756" t="inlineStr">
        <is>
          <t>Autor</t>
        </is>
      </c>
      <c r="E38" s="756" t="inlineStr">
        <is>
          <t>Descripción del cambio</t>
        </is>
      </c>
      <c r="F38" s="686" t="n"/>
    </row>
    <row r="39" ht="14" customHeight="1" s="549">
      <c r="A39" s="681" t="n"/>
      <c r="B39" s="730" t="inlineStr">
        <is>
          <t>v1.0</t>
        </is>
      </c>
      <c r="C39" s="730" t="inlineStr">
        <is>
          <t>17/02/2026</t>
        </is>
      </c>
      <c r="D39" s="730" t="inlineStr">
        <is>
          <t>Agustín D.</t>
        </is>
      </c>
      <c r="E39" s="694" t="inlineStr">
        <is>
          <t>Versión inicial. Supuestos, Flujo Neto, Flujo Bruto, General GORE. 60 equipos. TC USD 950.</t>
        </is>
      </c>
      <c r="F39" s="681" t="n"/>
    </row>
    <row r="40" ht="14" customHeight="1" s="549">
      <c r="A40" s="686" t="n"/>
      <c r="B40" s="757" t="inlineStr">
        <is>
          <t>v1.1</t>
        </is>
      </c>
      <c r="C40" s="757" t="inlineStr">
        <is>
          <t>Feb 2026</t>
        </is>
      </c>
      <c r="D40" s="757" t="inlineStr">
        <is>
          <t>Agustín D.</t>
        </is>
      </c>
      <c r="E40" s="693" t="inlineStr">
        <is>
          <t>Incorporación Analítica y Cashflow del sistema ACCIONA. Vínculos con Flujo Bruto.</t>
        </is>
      </c>
      <c r="F40" s="686" t="n"/>
    </row>
    <row r="41" ht="14" customHeight="1" s="549">
      <c r="A41" s="681" t="n"/>
      <c r="B41" s="730" t="inlineStr">
        <is>
          <t>v1.2</t>
        </is>
      </c>
      <c r="C41" s="730" t="inlineStr">
        <is>
          <t>Mar 2026</t>
        </is>
      </c>
      <c r="D41" s="730" t="inlineStr">
        <is>
          <t>Agustín D.</t>
        </is>
      </c>
      <c r="E41" s="694" t="inlineStr">
        <is>
          <t>Tabla Calculo Sueldo. Ajuste planilla personal. Revisión ítems 3. y 4.</t>
        </is>
      </c>
      <c r="F41" s="681" t="n"/>
    </row>
    <row r="42" ht="14" customHeight="1" s="549">
      <c r="A42" s="686" t="n"/>
      <c r="B42" s="757" t="inlineStr">
        <is>
          <t>v1.3</t>
        </is>
      </c>
      <c r="C42" s="757" t="inlineStr">
        <is>
          <t>Abr 2026</t>
        </is>
      </c>
      <c r="D42" s="757" t="inlineStr">
        <is>
          <t>Agustín D.</t>
        </is>
      </c>
      <c r="E42" s="693" t="inlineStr">
        <is>
          <t>Incorporación Planilla SISREC, Rendición GORE, Diagnóstico Vínculos, Guía Maestra.</t>
        </is>
      </c>
      <c r="F42" s="686" t="n"/>
    </row>
    <row r="43" ht="14" customHeight="1" s="549">
      <c r="A43" s="681" t="n"/>
      <c r="B43" s="730" t="inlineStr">
        <is>
          <t>v1.4</t>
        </is>
      </c>
      <c r="C43" s="730" t="inlineStr">
        <is>
          <t>13/05/2026</t>
        </is>
      </c>
      <c r="D43" s="730" t="inlineStr">
        <is>
          <t>Agustín D.</t>
        </is>
      </c>
      <c r="E43" s="694" t="inlineStr">
        <is>
          <t>Ajuste a 75 equipos. TC USD 1.000. Actualización Flujo Neto/Bruto. Carta Gantt ene 2026–jun 2027 (referencial).</t>
        </is>
      </c>
      <c r="F43" s="681" t="n"/>
    </row>
    <row r="44" ht="14" customHeight="1" s="549">
      <c r="A44" s="686" t="n"/>
      <c r="B44" s="757" t="inlineStr">
        <is>
          <t>v1.5</t>
        </is>
      </c>
      <c r="C44" s="757" t="inlineStr">
        <is>
          <t>13/05/2026</t>
        </is>
      </c>
      <c r="D44" s="757" t="inlineStr">
        <is>
          <t>Agustín D.</t>
        </is>
      </c>
      <c r="E44" s="693" t="inlineStr">
        <is>
          <t>Carta Gantt reconstruida: inicio jul 2026, fin instalaciones feb 2027, 9 fases, 42 actividades, 5 hitos.</t>
        </is>
      </c>
      <c r="F44" s="686" t="n"/>
    </row>
    <row r="45" ht="14" customHeight="1" s="549">
      <c r="A45" s="681" t="n"/>
      <c r="B45" s="730" t="inlineStr">
        <is>
          <t>v1.6</t>
        </is>
      </c>
      <c r="C45" s="730" t="inlineStr">
        <is>
          <t>14/05/2026</t>
        </is>
      </c>
      <c r="D45" s="730" t="inlineStr">
        <is>
          <t>Agustín D.</t>
        </is>
      </c>
      <c r="E45" s="694" t="inlineStr">
        <is>
          <t>Carátula con índice de pestañas, hyperlinks, control de revisiones y registro de mejoras.</t>
        </is>
      </c>
      <c r="F45" s="681" t="n"/>
    </row>
    <row r="46" ht="14" customHeight="1" s="549">
      <c r="A46" s="686" t="n"/>
      <c r="B46" s="757" t="inlineStr">
        <is>
          <t>v2.0</t>
        </is>
      </c>
      <c r="C46" s="757" t="inlineStr">
        <is>
          <t>14/05/2026</t>
        </is>
      </c>
      <c r="D46" s="757" t="inlineStr">
        <is>
          <t>Agustín D.</t>
        </is>
      </c>
      <c r="E46" s="693" t="inlineStr">
        <is>
          <t>Carátula rediseñada: hyperlinks corregidos, Total BRUTO agregado, RUT y nombre de archivo eliminados, versión migrada a 2.0.</t>
        </is>
      </c>
      <c r="F46" s="686" t="n"/>
    </row>
    <row r="47" ht="14" customHeight="1" s="549">
      <c r="A47" s="681" t="n"/>
      <c r="B47" s="730" t="inlineStr">
        <is>
          <t>v2.1</t>
        </is>
      </c>
      <c r="C47" s="730" t="inlineStr">
        <is>
          <t>__/__/____</t>
        </is>
      </c>
      <c r="D47" s="730" t="inlineStr">
        <is>
          <t>____________</t>
        </is>
      </c>
      <c r="E47" s="729" t="inlineStr">
        <is>
          <t>Completar al publicar próxima versión</t>
        </is>
      </c>
      <c r="F47" s="681" t="n"/>
    </row>
    <row r="48"/>
    <row r="49"/>
    <row r="50" ht="14" customHeight="1" s="549">
      <c r="A50" s="749" t="inlineStr">
        <is>
          <t xml:space="preserve">  REGISTRO DE MEJORAS PENDIENTES</t>
        </is>
      </c>
      <c r="B50" s="686" t="n"/>
      <c r="C50" s="686" t="n"/>
      <c r="D50" s="686" t="n"/>
      <c r="E50" s="686" t="n"/>
      <c r="F50" s="686" t="n"/>
    </row>
    <row r="51" hidden="1" s="549">
      <c r="A51" s="2" t="n"/>
      <c r="B51" s="2" t="n"/>
      <c r="C51" s="2" t="n"/>
      <c r="D51" s="2" t="n"/>
      <c r="E51" s="2" t="n"/>
      <c r="F51" s="2" t="n"/>
    </row>
    <row r="52" hidden="1" ht="14" customHeight="1" s="549">
      <c r="A52" s="733" t="n"/>
      <c r="B52" s="733" t="inlineStr">
        <is>
          <t>ID</t>
        </is>
      </c>
      <c r="C52" s="733" t="inlineStr">
        <is>
          <t>Prioridad</t>
        </is>
      </c>
      <c r="D52" s="733" t="inlineStr">
        <is>
          <t>Descripción de la mejora</t>
        </is>
      </c>
      <c r="E52" s="733" t="inlineStr">
        <is>
          <t>Estado</t>
        </is>
      </c>
      <c r="F52" s="681" t="n"/>
    </row>
    <row r="53" hidden="1" ht="14" customHeight="1" s="549">
      <c r="A53" s="686" t="n"/>
      <c r="B53" s="757" t="inlineStr">
        <is>
          <t>M-01</t>
        </is>
      </c>
      <c r="C53" s="756" t="inlineStr">
        <is>
          <t>CRÍTICA</t>
        </is>
      </c>
      <c r="D53" s="693" t="inlineStr">
        <is>
          <t>Analítica fila 21 (25.1 Alquiler vehículos): agregar referencia a FN fila 32 (5.2 Vehículo RRCC) en las 24 columnas de mes. Impacto: $5.600.000 NETO no reflejado en Analítica.</t>
        </is>
      </c>
      <c r="E53" s="693" t="inlineStr">
        <is>
          <t>Pendiente — corrección manual Excel</t>
        </is>
      </c>
      <c r="F53" s="686" t="n"/>
    </row>
    <row r="54" hidden="1" ht="14" customHeight="1" s="549">
      <c r="A54" s="681" t="n"/>
      <c r="B54" s="730" t="inlineStr">
        <is>
          <t>M-02</t>
        </is>
      </c>
      <c r="C54" s="733" t="inlineStr">
        <is>
          <t>ALTA</t>
        </is>
      </c>
      <c r="D54" s="694" t="inlineStr">
        <is>
          <t>Ingresar valores Budget en Analítica col AH y Cashflow col AD para activar análisis desviación Real vs Budget. Elimina 25 errores de división.</t>
        </is>
      </c>
      <c r="E54" s="694" t="inlineStr">
        <is>
          <t>Pendiente — requiere datos de convenio</t>
        </is>
      </c>
      <c r="F54" s="681" t="n"/>
    </row>
    <row r="55" hidden="1" ht="14" customHeight="1" s="549">
      <c r="A55" s="686" t="n"/>
      <c r="B55" s="757" t="inlineStr">
        <is>
          <t>M-03</t>
        </is>
      </c>
      <c r="C55" s="756" t="inlineStr">
        <is>
          <t>ALTA</t>
        </is>
      </c>
      <c r="D55" s="693" t="inlineStr">
        <is>
          <t>Reemplazar errores de metadatos en Analítica H1-H2 y Cashflow C1-C3 por texto fijo: PAIS=CL, DATO=18 Luz en Casa IV, CTRO COSTE=APR Propio.</t>
        </is>
      </c>
      <c r="E55" s="693" t="inlineStr">
        <is>
          <t>Pendiente</t>
        </is>
      </c>
      <c r="F55" s="686" t="n"/>
    </row>
    <row r="56" hidden="1" ht="14" customHeight="1" s="549">
      <c r="A56" s="681" t="n"/>
      <c r="B56" s="730" t="inlineStr">
        <is>
          <t>M-04</t>
        </is>
      </c>
      <c r="C56" s="733" t="inlineStr">
        <is>
          <t>ALTA</t>
        </is>
      </c>
      <c r="D56" s="694" t="inlineStr">
        <is>
          <t>Confirmar valor final convenio GORE (75 equipos) y validar coherencia entre Supuestos E5 y General GORE C14.</t>
        </is>
      </c>
      <c r="E56" s="694" t="inlineStr">
        <is>
          <t>Pendiente — sujeto a firma convenio</t>
        </is>
      </c>
      <c r="F56" s="681" t="n"/>
    </row>
    <row r="57" hidden="1" ht="14" customHeight="1" s="549">
      <c r="A57" s="686" t="n"/>
      <c r="B57" s="757" t="inlineStr">
        <is>
          <t>M-05</t>
        </is>
      </c>
      <c r="C57" s="756" t="inlineStr">
        <is>
          <t>MEDIA</t>
        </is>
      </c>
      <c r="D57" s="693" t="inlineStr">
        <is>
          <t>Ajustar columna inicio Carta Gantt con fecha real de suscripción del convenio GORE. Actualmente asume julio 2026.</t>
        </is>
      </c>
      <c r="E57" s="693" t="inlineStr">
        <is>
          <t>Pendiente — sujeto a firma convenio</t>
        </is>
      </c>
      <c r="F57" s="686" t="n"/>
    </row>
    <row r="58" hidden="1" ht="14" customHeight="1" s="549">
      <c r="A58" s="681" t="n"/>
      <c r="B58" s="730" t="inlineStr">
        <is>
          <t>M-06</t>
        </is>
      </c>
      <c r="C58" s="733" t="inlineStr">
        <is>
          <t>MEDIA</t>
        </is>
      </c>
      <c r="D58" s="694" t="inlineStr">
        <is>
          <t>Agregar dropdown de validación en Planilla SISREC: Tipo Documento y Estado SISREC (Pendiente / Ingresado / Aprobado / Observado).</t>
        </is>
      </c>
      <c r="E58" s="694" t="inlineStr">
        <is>
          <t>Pendiente</t>
        </is>
      </c>
      <c r="F58" s="681" t="n"/>
    </row>
    <row r="59" hidden="1" ht="14" customHeight="1" s="549">
      <c r="A59" s="686" t="n"/>
      <c r="B59" s="757" t="inlineStr">
        <is>
          <t>M-07</t>
        </is>
      </c>
      <c r="C59" s="756" t="inlineStr">
        <is>
          <t>MEDIA</t>
        </is>
      </c>
      <c r="D59" s="693" t="inlineStr">
        <is>
          <t>Revisar ítems 4.6 Encargado Territorial y 4.7 Apoyo Financiero en Supuestos: tienen valor unitario pero cantidad 0 en Flujo Neto. Confirmar activación.</t>
        </is>
      </c>
      <c r="E59" s="693" t="inlineStr">
        <is>
          <t>Pendiente — consultar con Rodrigo S.</t>
        </is>
      </c>
      <c r="F59" s="686" t="n"/>
    </row>
    <row r="60" hidden="1" ht="14" customHeight="1" s="549">
      <c r="A60" s="681" t="n"/>
      <c r="B60" s="730" t="inlineStr">
        <is>
          <t>M-08</t>
        </is>
      </c>
      <c r="C60" s="733" t="inlineStr">
        <is>
          <t>MEDIA</t>
        </is>
      </c>
      <c r="D60" s="694" t="inlineStr">
        <is>
          <t>Ítem 3.2 Descarga Estructura ($2.000.000): aparece en Supuestos sin distribución mensual en Flujo Neto. Definir mes de imputación.</t>
        </is>
      </c>
      <c r="E60" s="694" t="inlineStr">
        <is>
          <t>Pendiente</t>
        </is>
      </c>
      <c r="F60" s="681" t="n"/>
    </row>
    <row r="61" hidden="1" ht="14" customHeight="1" s="549">
      <c r="A61" s="686" t="n"/>
      <c r="B61" s="757" t="inlineStr">
        <is>
          <t>M-09</t>
        </is>
      </c>
      <c r="C61" s="756" t="inlineStr">
        <is>
          <t>BAJA</t>
        </is>
      </c>
      <c r="D61" s="693" t="inlineStr">
        <is>
          <t>Estandarizar colores de pestañas por categoría en futuras versiones.</t>
        </is>
      </c>
      <c r="E61" s="693" t="inlineStr">
        <is>
          <t>Aplicado en v2.0 — mantener en actualizaciones</t>
        </is>
      </c>
      <c r="F61" s="686" t="n"/>
    </row>
    <row r="62" hidden="1" ht="14" customHeight="1" s="549">
      <c r="A62" s="681" t="n"/>
      <c r="B62" s="730" t="inlineStr">
        <is>
          <t>M-10</t>
        </is>
      </c>
      <c r="C62" s="733" t="inlineStr">
        <is>
          <t>BAJA</t>
        </is>
      </c>
      <c r="D62" s="694" t="inlineStr">
        <is>
          <t>Agregar fila de total acumulado en Planilla SISREC con porcentaje de avance sobre monto GORE y semáforo (verde menor a 80% / amarillo 80-95% / rojo mayor a 95%).</t>
        </is>
      </c>
      <c r="E62" s="694" t="inlineStr">
        <is>
          <t>Pendiente</t>
        </is>
      </c>
      <c r="F62" s="681" t="n"/>
    </row>
    <row r="63" hidden="1" s="549">
      <c r="A63" s="2" t="n"/>
      <c r="B63" s="2" t="n"/>
      <c r="C63" s="2" t="n"/>
      <c r="D63" s="2" t="n"/>
      <c r="E63" s="2" t="n"/>
      <c r="F63" s="2" t="n"/>
    </row>
    <row r="64" ht="14" customHeight="1" s="549">
      <c r="A64" s="757" t="inlineStr">
        <is>
          <t>Fundación acciona.org  ·  Proyecto Luz en Casa GORE Coquimbo  ·  Documento de uso interno  ·  v2.0 · 2026-05-14</t>
        </is>
      </c>
      <c r="B64" s="686" t="n"/>
      <c r="C64" s="686" t="n"/>
      <c r="D64" s="686" t="n"/>
      <c r="E64" s="686" t="n"/>
      <c r="F64" s="686" t="n"/>
    </row>
  </sheetData>
  <mergeCells count="27">
    <mergeCell ref="D10:E10"/>
    <mergeCell ref="B7:C7"/>
    <mergeCell ref="A3:F3"/>
    <mergeCell ref="B12:C12"/>
    <mergeCell ref="A2:F2"/>
    <mergeCell ref="D6:E6"/>
    <mergeCell ref="B11:C11"/>
    <mergeCell ref="D13:E13"/>
    <mergeCell ref="D11:E11"/>
    <mergeCell ref="B14:C14"/>
    <mergeCell ref="A17:F17"/>
    <mergeCell ref="A35:F35"/>
    <mergeCell ref="B8:C8"/>
    <mergeCell ref="B13:C13"/>
    <mergeCell ref="A63:F63"/>
    <mergeCell ref="D7:E7"/>
    <mergeCell ref="B10:C10"/>
    <mergeCell ref="B9:C9"/>
    <mergeCell ref="D9:E9"/>
    <mergeCell ref="D12:E12"/>
    <mergeCell ref="D8:E8"/>
    <mergeCell ref="A49:F49"/>
    <mergeCell ref="B6:C6"/>
    <mergeCell ref="B5:C5"/>
    <mergeCell ref="A1:F1"/>
    <mergeCell ref="D5:E5"/>
    <mergeCell ref="D14:E14"/>
  </mergeCells>
  <hyperlinks>
    <hyperlink ref="B20" location="Supuestos!A1" display="→  Supuestos"/>
    <hyperlink ref="B21" location="'Flujo Neto'!A1" display="→  Flujo Neto"/>
    <hyperlink ref="B22" location="'Flujo Bruto'!A1" display="→  Flujo Bruto"/>
    <hyperlink ref="B23" location="'General GORE'!A1" display="→  General GORE"/>
    <hyperlink ref="B24" location="'Carta Gantt'!A1" display="→  Carta Gantt"/>
    <hyperlink ref="B25" location="'Antecedentes Programa'!A1" display="→  Antecedentes Programa"/>
    <hyperlink ref="B26" location="'Planilla SISREC'!A1" display="→  Planilla SISREC"/>
    <hyperlink ref="B27" location="'Rendición GORE'!A1" display="→  Rendición GORE"/>
    <hyperlink ref="B28" location="'Tabla Calculo Sueldo'!A1" display="→  Tabla Calculo Sueldo"/>
    <hyperlink ref="B29" location="'Guía Maestra'!A1" display="→  Guía Maestra"/>
    <hyperlink ref="B30" location="'Diagnóstico Vínculos'!A1" display="→  Diagnóstico Vínculos"/>
    <hyperlink ref="B31" location="Analitica!A1" display="→  Analitica"/>
    <hyperlink ref="B32" location="Cashflow!A1" display="→  Cashflow"/>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001F3864"/>
    <outlinePr summaryBelow="1" summaryRight="1"/>
    <pageSetUpPr/>
  </sheetPr>
  <dimension ref="A1:H37"/>
  <sheetViews>
    <sheetView showGridLines="0" topLeftCell="A9" zoomScale="130" zoomScaleNormal="130" workbookViewId="0">
      <pane xSplit="1" ySplit="3" topLeftCell="B12" activePane="bottomRight" state="frozen"/>
      <selection pane="topRight" activeCell="B9" sqref="B9"/>
      <selection pane="bottomLeft" activeCell="A12" sqref="A12"/>
      <selection pane="bottomRight" activeCell="D14" sqref="B14:D14"/>
    </sheetView>
  </sheetViews>
  <sheetFormatPr baseColWidth="10" defaultColWidth="3" defaultRowHeight="12"/>
  <cols>
    <col width="47" customWidth="1" style="583" min="1" max="1"/>
    <col width="47" customWidth="1" style="583" min="2" max="2"/>
    <col width="47" customWidth="1" style="584" min="3" max="3"/>
    <col width="47" customWidth="1" style="583" min="4" max="4"/>
    <col width="47" customWidth="1" style="583" min="5" max="5"/>
    <col width="47" customWidth="1" style="583" min="6" max="6"/>
    <col width="47" customWidth="1" style="583" min="7" max="7"/>
    <col width="10" customWidth="1" style="583" min="8" max="9"/>
    <col width="3" customWidth="1" style="583" min="10" max="16384"/>
  </cols>
  <sheetData>
    <row r="1" ht="20" customHeight="1" s="549">
      <c r="A1" s="746" t="inlineStr">
        <is>
          <t>RESUMEN GENERAL — PROYECTO LUZ EN CASA · GORE COQUIMBO</t>
        </is>
      </c>
    </row>
    <row r="2">
      <c r="A2" s="582" t="inlineStr">
        <is>
          <t>Fundación acciona.org (Grupo ACCIONA) · Financiamiento FNDR Subtítulo 33 · Región de Coquimbo</t>
        </is>
      </c>
    </row>
    <row r="3" ht="13.5" customHeight="1" s="549">
      <c r="A3" s="590" t="inlineStr">
        <is>
          <t>1. EQUIPOS SUMINISTRADOS — ZIMPERTEC GmbH &amp; Co. KG (Alemania)</t>
        </is>
      </c>
    </row>
    <row r="4" ht="24" customHeight="1" s="549">
      <c r="A4" s="747" t="n"/>
      <c r="B4" s="747" t="inlineStr">
        <is>
          <t>Componente</t>
        </is>
      </c>
      <c r="C4" s="758" t="inlineStr">
        <is>
          <t>Modelo</t>
        </is>
      </c>
      <c r="D4" s="747" t="inlineStr">
        <is>
          <t>Especificación principal</t>
        </is>
      </c>
      <c r="E4" s="747" t="inlineStr">
        <is>
          <t>Qty por kit</t>
        </is>
      </c>
      <c r="F4" s="758" t="inlineStr">
        <is>
          <t>Total proyecto (60 kits)</t>
        </is>
      </c>
      <c r="G4" s="747" t="inlineStr">
        <is>
          <t>Observaciones</t>
        </is>
      </c>
      <c r="H4" s="747" t="n"/>
    </row>
    <row r="5" ht="14" customHeight="1" s="549">
      <c r="A5" s="729" t="n"/>
      <c r="B5" s="694" t="inlineStr">
        <is>
          <t>Sistema Solar
Domiciliario AC (SHS AC)</t>
        </is>
      </c>
      <c r="C5" s="759" t="inlineStr">
        <is>
          <t>AC-LS-AC25.6V/50Ah/
1.28kWh/220V/50Hz/
0.9kW-HP/Termcon-a</t>
        </is>
      </c>
      <c r="D5" s="694" t="inlineStr">
        <is>
          <t>Inversor 900W · Batería LFP 25.6V/50Ah/1.28kWh · Controlador PWM 40A · Salida DC 24V/10A · Gabinete gris acciona.org</t>
        </is>
      </c>
      <c r="E5" s="730" t="inlineStr">
        <is>
          <t>1</t>
        </is>
      </c>
      <c r="F5" s="760" t="inlineStr">
        <is>
          <t>60</t>
        </is>
      </c>
      <c r="G5" s="694" t="inlineStr">
        <is>
          <t>Gabinete especial para acciona.org · optimizado para cargas AC básicas y picos de motor</t>
        </is>
      </c>
      <c r="H5" s="681" t="n"/>
    </row>
    <row r="6" ht="14" customHeight="1" s="549">
      <c r="A6" s="749" t="n"/>
      <c r="B6" s="693" t="inlineStr">
        <is>
          <t>Panel solar
fotovoltaico</t>
        </is>
      </c>
      <c r="C6" s="761" t="inlineStr">
        <is>
          <t>SP-500-66M-S4-0.35</t>
        </is>
      </c>
      <c r="D6" s="693" t="inlineStr">
        <is>
          <t>500 Wp · Monocristalino · 66 celdas en serie · Cableado S4 terminal 0.35 m</t>
        </is>
      </c>
      <c r="E6" s="757" t="inlineStr">
        <is>
          <t>2</t>
        </is>
      </c>
      <c r="F6" s="757" t="inlineStr">
        <is>
          <t>120</t>
        </is>
      </c>
      <c r="G6" s="693" t="inlineStr">
        <is>
          <t>2 paneles por kit · orientación optimizada en cubierta</t>
        </is>
      </c>
      <c r="H6" s="686" t="n"/>
    </row>
    <row r="7" ht="14" customHeight="1" s="549">
      <c r="A7" s="729" t="n"/>
      <c r="B7" s="694" t="inlineStr">
        <is>
          <t>Luminaria LED</t>
        </is>
      </c>
      <c r="C7" s="759" t="inlineStr">
        <is>
          <t>SFL-12-24/05CW</t>
        </is>
      </c>
      <c r="D7" s="694" t="inlineStr">
        <is>
          <t>5W · 12/24 VDC · Cool White · Cert. CE y ROHS</t>
        </is>
      </c>
      <c r="E7" s="730" t="inlineStr">
        <is>
          <t>3</t>
        </is>
      </c>
      <c r="F7" s="730" t="inlineStr">
        <is>
          <t>180</t>
        </is>
      </c>
      <c r="G7" s="694" t="inlineStr">
        <is>
          <t>3 puntos iluminación DC por vivienda · máx. 20 m cableado interior</t>
        </is>
      </c>
      <c r="H7" s="681" t="n"/>
    </row>
    <row r="8" ht="14" customHeight="1" s="549">
      <c r="A8" s="749" t="n"/>
      <c r="B8" s="693" t="inlineStr">
        <is>
          <t>Alcance instalación por vivienda: 3 luminarias LED DC (12/24V) + 1 toma corriente AC (220V/50Hz) · máx 20 m cableado · TE-1 voluntaria SEC · Acta recepción conforme</t>
        </is>
      </c>
      <c r="C8" s="686" t="n"/>
      <c r="D8" s="686" t="n"/>
      <c r="E8" s="686" t="n"/>
      <c r="F8" s="686" t="n"/>
      <c r="G8" s="686" t="n"/>
      <c r="H8" s="686" t="n"/>
    </row>
    <row r="9" ht="14" customHeight="1" s="549">
      <c r="A9" s="729" t="inlineStr">
        <is>
          <t>2. SUPUESTOS FINANCIEROS — COSTO UNITARIO POR INSTALACIÓN</t>
        </is>
      </c>
      <c r="B9" s="681" t="n"/>
      <c r="C9" s="681" t="n"/>
      <c r="D9" s="681" t="n"/>
      <c r="E9" s="681" t="n"/>
      <c r="F9" s="681" t="n"/>
      <c r="G9" s="681" t="n"/>
      <c r="H9" s="681" t="n"/>
    </row>
    <row r="10" ht="14" customHeight="1" s="549">
      <c r="A10" s="749" t="n"/>
      <c r="B10" s="756" t="inlineStr">
        <is>
          <t>Concepto</t>
        </is>
      </c>
      <c r="C10" s="756" t="inlineStr">
        <is>
          <t>Valor NETO (CLP)</t>
        </is>
      </c>
      <c r="D10" s="756" t="inlineStr">
        <is>
          <t>Valor BRUTO (CLP)</t>
        </is>
      </c>
      <c r="E10" s="756" t="inlineStr">
        <is>
          <t>Referencia Supuestos</t>
        </is>
      </c>
      <c r="F10" s="756" t="inlineStr">
        <is>
          <t>Notas</t>
        </is>
      </c>
      <c r="G10" s="749" t="n"/>
      <c r="H10" s="686" t="n"/>
    </row>
    <row r="11" ht="14" customHeight="1" s="549">
      <c r="A11" s="729" t="n"/>
      <c r="B11" s="694" t="inlineStr">
        <is>
          <t>Costo equipos + traslados asociados (GORE)</t>
        </is>
      </c>
      <c r="C11" s="762" t="n"/>
      <c r="D11" s="763">
        <f>Supuestos!F74</f>
        <v/>
      </c>
      <c r="E11" s="730" t="inlineStr">
        <is>
          <t>Supuestos!F71</t>
        </is>
      </c>
      <c r="F11" s="694" t="inlineStr">
        <is>
          <t>Sistemas AC + Paneles + Lámparas + Flete + Transp.descons. + Grúas</t>
        </is>
      </c>
      <c r="G11" s="729" t="n"/>
      <c r="H11" s="681" t="n"/>
    </row>
    <row r="12" ht="14" customHeight="1" s="549">
      <c r="A12" s="749" t="n"/>
      <c r="B12" s="693" t="inlineStr">
        <is>
          <t>Costo personal, logística, materiales, vehículos, viajes</t>
        </is>
      </c>
      <c r="C12" s="764">
        <f>Supuestos!I4</f>
        <v/>
      </c>
      <c r="D12" s="765">
        <f>Supuestos!F75</f>
        <v/>
      </c>
      <c r="E12" s="757" t="inlineStr">
        <is>
          <t>Supuestos!F72</t>
        </is>
      </c>
      <c r="F12" s="693" t="inlineStr">
        <is>
          <t>Calculado como: K5 (unitario resto de ítems)</t>
        </is>
      </c>
      <c r="G12" s="749" t="n"/>
      <c r="H12" s="686" t="n"/>
    </row>
    <row r="13" ht="14" customHeight="1" s="549">
      <c r="A13" s="729" t="n"/>
      <c r="B13" s="694" t="inlineStr">
        <is>
          <t>TOTAL COSTO UNITARIO (NETO)</t>
        </is>
      </c>
      <c r="C13" s="762">
        <f>'Flujo Neto'!AJ69/'General GORE'!C27</f>
        <v/>
      </c>
      <c r="D13" s="729" t="n"/>
      <c r="E13" s="730" t="inlineStr">
        <is>
          <t>Supuestos!I5</t>
        </is>
      </c>
      <c r="F13" s="694" t="inlineStr">
        <is>
          <t>Suma unitaria NETO</t>
        </is>
      </c>
      <c r="G13" s="729" t="n"/>
      <c r="H13" s="681" t="n"/>
    </row>
    <row r="14" ht="14" customHeight="1" s="549">
      <c r="A14" s="749" t="n"/>
      <c r="B14" s="693" t="inlineStr">
        <is>
          <t>TOTAL COSTO UNITARIO (BRUTO)</t>
        </is>
      </c>
      <c r="C14" s="693" t="n"/>
      <c r="D14" s="765">
        <f>C20/'General GORE'!C27</f>
        <v/>
      </c>
      <c r="E14" s="757" t="inlineStr">
        <is>
          <t>Flujo Bruto!AJ68</t>
        </is>
      </c>
      <c r="F14" s="693" t="inlineStr">
        <is>
          <t>Unitario BRUTO = total proyecto / 60 equipos</t>
        </is>
      </c>
      <c r="G14" s="749" t="n"/>
      <c r="H14" s="686" t="n"/>
    </row>
    <row r="15" ht="14" customHeight="1" s="549">
      <c r="A15" s="729" t="inlineStr">
        <is>
          <t>3. VALIDADOR FINANCIERO — TOPE MÁXIMO GORE $170.000.000 (50% del proyecto)</t>
        </is>
      </c>
      <c r="B15" s="681" t="n"/>
      <c r="C15" s="681" t="n"/>
      <c r="D15" s="681" t="n"/>
      <c r="E15" s="681" t="n"/>
      <c r="F15" s="681" t="n"/>
      <c r="G15" s="681" t="n"/>
      <c r="H15" s="681" t="n"/>
    </row>
    <row r="16" ht="14" customHeight="1" s="549">
      <c r="A16" s="749" t="n"/>
      <c r="B16" s="756" t="inlineStr">
        <is>
          <t>Concepto</t>
        </is>
      </c>
      <c r="C16" s="756" t="inlineStr">
        <is>
          <t>Valor CLP</t>
        </is>
      </c>
      <c r="D16" s="756" t="inlineStr">
        <is>
          <t>% del Total Bruto</t>
        </is>
      </c>
      <c r="E16" s="756" t="inlineStr">
        <is>
          <t>Estado</t>
        </is>
      </c>
      <c r="F16" s="756" t="inlineStr">
        <is>
          <t>Referencia / Fórmula</t>
        </is>
      </c>
      <c r="G16" s="749" t="n"/>
      <c r="H16" s="686" t="n"/>
    </row>
    <row r="17" ht="14" customHeight="1" s="549">
      <c r="A17" s="729" t="n"/>
      <c r="B17" s="729" t="inlineStr">
        <is>
          <t>Aporte GORE (tope máximo reembolsable)</t>
        </is>
      </c>
      <c r="C17" s="766" t="n">
        <v>170000000</v>
      </c>
      <c r="D17" s="767">
        <f>C17/'Flujo Bruto'!AJ69</f>
        <v/>
      </c>
      <c r="E17" s="730">
        <f>IF(C17&lt;='Flujo Bruto'!AJ69,"✓ GORE ≤ Total proyecto","⚠ GORE &gt; Total proyecto")</f>
        <v/>
      </c>
      <c r="F17" s="729" t="inlineStr">
        <is>
          <t>Hardcoded · ref. Rodrigo Soto</t>
        </is>
      </c>
      <c r="G17" s="729" t="n"/>
      <c r="H17" s="681" t="n"/>
    </row>
    <row r="18" ht="14" customHeight="1" s="549">
      <c r="A18" s="686" t="n"/>
      <c r="B18" s="749" t="inlineStr">
        <is>
          <t>Aporte Fundación acciona.org (50% complementario)</t>
        </is>
      </c>
      <c r="C18" s="768" t="n">
        <v>170000000</v>
      </c>
      <c r="D18" s="769">
        <f>C18/'Flujo Bruto'!AJ69</f>
        <v/>
      </c>
      <c r="E18" s="757">
        <f>IF(C17=C18,"✓ Aporte simétrico","⚠ Aportes asimétricos")</f>
        <v/>
      </c>
      <c r="F18" s="749" t="inlineStr">
        <is>
          <t>Hardcoded · $170MM = $170MM</t>
        </is>
      </c>
      <c r="G18" s="686" t="n"/>
      <c r="H18" s="686" t="n"/>
    </row>
    <row r="19" ht="14" customHeight="1" s="549">
      <c r="A19" s="681" t="n"/>
      <c r="B19" s="729" t="inlineStr">
        <is>
          <t>Total comprometido (GORE + Fundación)</t>
        </is>
      </c>
      <c r="C19" s="766">
        <f>C17+C18</f>
        <v/>
      </c>
      <c r="D19" s="767">
        <f>C19/C19</f>
        <v/>
      </c>
      <c r="E19" s="730" t="inlineStr">
        <is>
          <t>✓ $340.000.000 total</t>
        </is>
      </c>
      <c r="F19" s="729" t="inlineStr">
        <is>
          <t>C17 + C18</t>
        </is>
      </c>
      <c r="G19" s="681" t="n"/>
      <c r="H19" s="681" t="n"/>
    </row>
    <row r="20" ht="14" customHeight="1" s="549">
      <c r="A20" s="686" t="n"/>
      <c r="B20" s="749" t="inlineStr">
        <is>
          <t>Costo total real del proyecto (Flujo Bruto)</t>
        </is>
      </c>
      <c r="C20" s="768">
        <f>'Flujo Bruto'!AJ69</f>
        <v/>
      </c>
      <c r="D20" s="769">
        <f>'Flujo Bruto'!AJ69/C19</f>
        <v/>
      </c>
      <c r="E20" s="757">
        <f>IF('Flujo Bruto'!AJ69&lt;=C19,"✓ Dentro del tope","⚠ EXCEDE tope $340MM")</f>
        <v/>
      </c>
      <c r="F20" s="749" t="inlineStr">
        <is>
          <t>Flujo Bruto!AJ66 (total 60 equipos)</t>
        </is>
      </c>
      <c r="G20" s="770">
        <f>+C20-C19</f>
        <v/>
      </c>
      <c r="H20" s="686" t="n"/>
    </row>
    <row r="21" ht="14" customHeight="1" s="549">
      <c r="A21" s="681" t="n"/>
      <c r="B21" s="729" t="inlineStr">
        <is>
          <t>Costo unitario real BRUTO (por instalación)</t>
        </is>
      </c>
      <c r="C21" s="766">
        <f>D14</f>
        <v/>
      </c>
      <c r="D21" s="767">
        <f>C21/(C19/C27)</f>
        <v/>
      </c>
      <c r="E21" s="730">
        <f>IF(C21&lt;=C19/60,"✓ Dentro del tope unit.","⚠ Supera tope unitario")</f>
        <v/>
      </c>
      <c r="F21" s="729" t="n"/>
      <c r="G21" s="681" t="n"/>
      <c r="H21" s="681" t="n"/>
    </row>
    <row r="22" ht="14" customHeight="1" s="549">
      <c r="A22" s="686" t="n"/>
      <c r="B22" s="749" t="inlineStr">
        <is>
          <t>Costo equipos+traslados GORE (K3 × 60 equipos)</t>
        </is>
      </c>
      <c r="C22" s="768">
        <f>Supuestos!F74*Supuestos!E2</f>
        <v/>
      </c>
      <c r="D22" s="769">
        <f>C22/'Flujo Bruto'!AJ69</f>
        <v/>
      </c>
      <c r="E22" s="757">
        <f>IF(C22&lt;=C17,"✓ Equip. dentro aporte GORE","⚠ Equip. supera aporte")</f>
        <v/>
      </c>
      <c r="F22" s="749" t="inlineStr">
        <is>
          <t>K3 × E2 (Supuestos)</t>
        </is>
      </c>
      <c r="G22" s="686" t="n"/>
      <c r="H22" s="686" t="n"/>
    </row>
    <row r="23" ht="14" customHeight="1" s="549">
      <c r="A23" s="681" t="n"/>
      <c r="B23" s="729" t="inlineStr">
        <is>
          <t>Saldo GORE disponible para otros ítems (GORE - equip.)</t>
        </is>
      </c>
      <c r="C23" s="766">
        <f>C17-C22</f>
        <v/>
      </c>
      <c r="D23" s="767">
        <f>C23/C17</f>
        <v/>
      </c>
      <c r="E23" s="730">
        <f>IF(C23&gt;=0,"✓ GORE cubre equipos","⚠ GORE insuficiente para equipos")</f>
        <v/>
      </c>
      <c r="F23" s="729" t="inlineStr">
        <is>
          <t>C17 - C22</t>
        </is>
      </c>
      <c r="G23" s="681" t="n"/>
      <c r="H23" s="681" t="n"/>
    </row>
    <row r="24" ht="14" customHeight="1" s="549">
      <c r="A24" s="693" t="inlineStr">
        <is>
          <t>⚠ VALIDACIÓN: Los valores en amarillo se calculan desde Flujo Bruto (dinámicos). Los valores en verde ya cumplen la condición. Si algún estado dice "⚠", revisar Supuestos antes de presentar al GORE.</t>
        </is>
      </c>
      <c r="B24" s="686" t="n"/>
      <c r="C24" s="686" t="n"/>
      <c r="D24" s="686" t="n"/>
      <c r="E24" s="686" t="n"/>
      <c r="F24" s="686" t="n"/>
      <c r="G24" s="686" t="n"/>
      <c r="H24" s="686" t="n"/>
    </row>
    <row r="25" ht="14" customHeight="1" s="549">
      <c r="A25" s="729" t="inlineStr">
        <is>
          <t>4. PARÁMETROS CLAVE DEL PROYECTO</t>
        </is>
      </c>
      <c r="B25" s="681" t="n"/>
      <c r="C25" s="681" t="n"/>
      <c r="D25" s="681" t="n"/>
      <c r="E25" s="681" t="n"/>
      <c r="F25" s="681" t="n"/>
      <c r="G25" s="681" t="n"/>
      <c r="H25" s="681" t="n"/>
    </row>
    <row r="26" ht="14" customHeight="1" s="549">
      <c r="A26" s="686" t="n"/>
      <c r="B26" s="757" t="inlineStr">
        <is>
          <t>Parámetro</t>
        </is>
      </c>
      <c r="C26" s="756" t="inlineStr">
        <is>
          <t>Valor actual</t>
        </is>
      </c>
      <c r="D26" s="757" t="inlineStr">
        <is>
          <t>Fuente</t>
        </is>
      </c>
      <c r="E26" s="757" t="inlineStr">
        <is>
          <t>Editar en</t>
        </is>
      </c>
      <c r="F26" s="757" t="inlineStr">
        <is>
          <t>Notas</t>
        </is>
      </c>
      <c r="G26" s="686" t="n"/>
      <c r="H26" s="686" t="n"/>
    </row>
    <row r="27" ht="14" customHeight="1" s="549">
      <c r="A27" s="681" t="n"/>
      <c r="B27" s="694" t="inlineStr">
        <is>
          <t>N° equipos a comprar</t>
        </is>
      </c>
      <c r="C27" s="733">
        <f>Supuestos!E2</f>
        <v/>
      </c>
      <c r="D27" s="730" t="inlineStr">
        <is>
          <t>Supuestos!E2</t>
        </is>
      </c>
      <c r="E27" s="730" t="inlineStr">
        <is>
          <t>Supuestos!E2</t>
        </is>
      </c>
      <c r="F27" s="694" t="inlineStr">
        <is>
          <t>Cantidad de kits FV completos</t>
        </is>
      </c>
      <c r="G27" s="681" t="n"/>
      <c r="H27" s="681" t="n"/>
    </row>
    <row r="28" ht="14" customHeight="1" s="549">
      <c r="A28" s="686" t="n"/>
      <c r="B28" s="693" t="inlineStr">
        <is>
          <t>Tasa de cambio USD/CLP</t>
        </is>
      </c>
      <c r="C28" s="756">
        <f>Supuestos!E3</f>
        <v/>
      </c>
      <c r="D28" s="757" t="inlineStr">
        <is>
          <t>Supuestos!E3</t>
        </is>
      </c>
      <c r="E28" s="757" t="inlineStr">
        <is>
          <t>Supuestos!E3</t>
        </is>
      </c>
      <c r="F28" s="693" t="inlineStr">
        <is>
          <t>Solo para referencia en Supuestos</t>
        </is>
      </c>
      <c r="G28" s="686" t="n"/>
      <c r="H28" s="686" t="n"/>
    </row>
    <row r="29" ht="14" customHeight="1" s="549">
      <c r="A29" s="681" t="n"/>
      <c r="B29" s="694" t="inlineStr">
        <is>
          <t>N° cuadrillas de instalación</t>
        </is>
      </c>
      <c r="C29" s="733">
        <f>Supuestos!E4</f>
        <v/>
      </c>
      <c r="D29" s="730" t="inlineStr">
        <is>
          <t>Supuestos!E4</t>
        </is>
      </c>
      <c r="E29" s="730" t="inlineStr">
        <is>
          <t>Supuestos!E4</t>
        </is>
      </c>
      <c r="F29" s="694" t="inlineStr">
        <is>
          <t>Afecta herramientas (ítem 2.3)</t>
        </is>
      </c>
      <c r="G29" s="681" t="n"/>
      <c r="H29" s="681" t="n"/>
    </row>
    <row r="30" ht="14" customHeight="1" s="549">
      <c r="A30" s="686" t="n"/>
      <c r="B30" s="693" t="inlineStr">
        <is>
          <t>Costo unitario equipos GORE (K3)</t>
        </is>
      </c>
      <c r="C30" s="764">
        <f>Supuestos!F74</f>
        <v/>
      </c>
      <c r="D30" s="757" t="inlineStr">
        <is>
          <t>Supuestos!K3</t>
        </is>
      </c>
      <c r="E30" s="757" t="inlineStr">
        <is>
          <t>⛔ Calculado</t>
        </is>
      </c>
      <c r="F30" s="693" t="inlineStr">
        <is>
          <t>Fórmula: K4 + (K43+K46+K47)/E2</t>
        </is>
      </c>
      <c r="G30" s="686" t="n"/>
      <c r="H30" s="686" t="n"/>
    </row>
    <row r="31" ht="14" customHeight="1" s="549">
      <c r="A31" s="681" t="n"/>
      <c r="B31" s="694" t="inlineStr">
        <is>
          <t>Tiempo importación (meses)</t>
        </is>
      </c>
      <c r="C31" s="712" t="inlineStr">
        <is>
          <t>4-5 meses</t>
        </is>
      </c>
      <c r="D31" s="730" t="inlineStr">
        <is>
          <t>Minuta Proyecto</t>
        </is>
      </c>
      <c r="E31" s="730" t="inlineStr">
        <is>
          <t>—</t>
        </is>
      </c>
      <c r="F31" s="694" t="n"/>
      <c r="G31" s="681" t="n"/>
      <c r="H31" s="681" t="n"/>
    </row>
    <row r="32" ht="14" customHeight="1" s="549">
      <c r="A32" s="686" t="n"/>
      <c r="B32" s="693" t="inlineStr">
        <is>
          <t>Modelo pago usuarios</t>
        </is>
      </c>
      <c r="C32" s="771" t="inlineStr">
        <is>
          <t>Caja Vecina BancoEstado</t>
        </is>
      </c>
      <c r="D32" s="757" t="inlineStr">
        <is>
          <t>Minuta Proyecto</t>
        </is>
      </c>
      <c r="E32" s="757" t="inlineStr">
        <is>
          <t>—</t>
        </is>
      </c>
      <c r="F32" s="693" t="inlineStr">
        <is>
          <t>~30.000 sucursales acceso rural</t>
        </is>
      </c>
      <c r="G32" s="686" t="n"/>
      <c r="H32" s="686" t="n"/>
    </row>
    <row r="33" ht="14" customHeight="1" s="549">
      <c r="A33" s="681" t="n"/>
      <c r="B33" s="694" t="inlineStr">
        <is>
          <t>Cantidad de equipos financiables (C11/C12)</t>
        </is>
      </c>
      <c r="C33" s="762">
        <f>C17/Supuestos!F74</f>
        <v/>
      </c>
      <c r="D33" s="730" t="inlineStr">
        <is>
          <t>Calculado</t>
        </is>
      </c>
      <c r="E33" s="730" t="inlineStr">
        <is>
          <t>—</t>
        </is>
      </c>
      <c r="F33" s="694" t="inlineStr">
        <is>
          <t>GORE $170MM ÷ K3 unitario</t>
        </is>
      </c>
      <c r="G33" s="681" t="n"/>
      <c r="H33" s="681" t="n"/>
    </row>
    <row r="34" ht="14" customHeight="1" s="549">
      <c r="A34" s="686" t="n"/>
      <c r="B34" s="693" t="inlineStr">
        <is>
          <t>Cantidad de equipos finales</t>
        </is>
      </c>
      <c r="C34" s="771" t="inlineStr">
        <is>
          <t>75</t>
        </is>
      </c>
      <c r="D34" s="757" t="inlineStr">
        <is>
          <t>Supuestos</t>
        </is>
      </c>
      <c r="E34" s="757" t="inlineStr">
        <is>
          <t>—</t>
        </is>
      </c>
      <c r="F34" s="693" t="inlineStr">
        <is>
          <t>[VERIFICAR] ajustar según convenio</t>
        </is>
      </c>
      <c r="G34" s="686" t="n"/>
      <c r="H34" s="686" t="n"/>
    </row>
    <row r="35" ht="14" customHeight="1" s="549">
      <c r="A35" s="681" t="n"/>
      <c r="B35" s="694" t="inlineStr">
        <is>
          <t>Costo total compra (75 × K3)</t>
        </is>
      </c>
      <c r="C35" s="762">
        <f>75*Supuestos!F74</f>
        <v/>
      </c>
      <c r="D35" s="730" t="inlineStr">
        <is>
          <t>Calculado</t>
        </is>
      </c>
      <c r="E35" s="730" t="inlineStr">
        <is>
          <t>—</t>
        </is>
      </c>
      <c r="F35" s="694" t="inlineStr">
        <is>
          <t>75 equipos × K3 unitario</t>
        </is>
      </c>
      <c r="G35" s="681" t="n"/>
      <c r="H35" s="681" t="n"/>
    </row>
    <row r="36"/>
    <row r="37" ht="14" customHeight="1" s="549">
      <c r="A37" s="749" t="inlineStr">
        <is>
          <t>ℹ Para antecedentes y contexto del programa, ver pestaña → Antecedentes Programa</t>
        </is>
      </c>
      <c r="B37" s="686" t="n"/>
      <c r="C37" s="686" t="n"/>
      <c r="D37" s="686" t="n"/>
      <c r="E37" s="686" t="n"/>
      <c r="F37" s="686" t="n"/>
      <c r="G37" s="686" t="n"/>
      <c r="H37" s="686" t="n"/>
    </row>
  </sheetData>
  <mergeCells count="9">
    <mergeCell ref="A9:H9"/>
    <mergeCell ref="A3:H3"/>
    <mergeCell ref="A15:H15"/>
    <mergeCell ref="A25:H25"/>
    <mergeCell ref="A24:H24"/>
    <mergeCell ref="A2:H2"/>
    <mergeCell ref="B8:G8"/>
    <mergeCell ref="A1:H1"/>
    <mergeCell ref="A37:H37"/>
  </mergeCells>
  <pageMargins left="0.7" right="0.7" top="0.75" bottom="0.75" header="0.511811023622047" footer="0.511811023622047"/>
  <pageSetup orientation="landscape" paperSize="9" horizontalDpi="300" verticalDpi="300"/>
</worksheet>
</file>

<file path=xl/worksheets/sheet5.xml><?xml version="1.0" encoding="utf-8"?>
<worksheet xmlns="http://schemas.openxmlformats.org/spreadsheetml/2006/main">
  <sheetPr>
    <tabColor rgb="00C00000"/>
    <outlinePr summaryBelow="1" summaryRight="1"/>
    <pageSetUpPr/>
  </sheetPr>
  <dimension ref="A1:E21"/>
  <sheetViews>
    <sheetView showGridLines="0" workbookViewId="0">
      <selection activeCell="C16" sqref="A16:C16"/>
    </sheetView>
  </sheetViews>
  <sheetFormatPr baseColWidth="10" defaultColWidth="11.42578125" defaultRowHeight="15"/>
  <cols>
    <col width="47" bestFit="1" customWidth="1" style="549" min="1" max="1"/>
    <col width="19" bestFit="1" customWidth="1" style="549" min="2" max="2"/>
    <col width="14" customWidth="1" style="549" min="3" max="3"/>
    <col width="14" customWidth="1" style="549" min="4" max="4"/>
    <col width="32" customWidth="1" style="549" min="5" max="5"/>
  </cols>
  <sheetData>
    <row r="1" ht="22" customHeight="1" s="549">
      <c r="A1" s="674" t="inlineStr">
        <is>
          <t>AUMENTO DE MONTO — Fuente Oficial · Actualizado 5 de Junio 2026</t>
        </is>
      </c>
    </row>
    <row r="2" ht="14" customHeight="1" s="549">
      <c r="A2" s="772" t="inlineStr">
        <is>
          <t>Luz en Casa · GORE Coquimbo · Fundación acciona.org</t>
        </is>
      </c>
    </row>
    <row r="3"/>
    <row r="4">
      <c r="A4" s="747" t="n"/>
      <c r="B4" s="747" t="inlineStr">
        <is>
          <t>MONTO</t>
        </is>
      </c>
      <c r="C4" s="747" t="inlineStr">
        <is>
          <t>Unidad</t>
        </is>
      </c>
      <c r="D4" s="747" t="n"/>
      <c r="E4" s="747" t="n"/>
    </row>
    <row r="5">
      <c r="A5" t="inlineStr">
        <is>
          <t>TOTAL COSTO UNITARIO (BRUTO)</t>
        </is>
      </c>
      <c r="B5" s="773" t="n">
        <v>4625776.333333333</v>
      </c>
      <c r="C5" s="773" t="inlineStr">
        <is>
          <t>CLP</t>
        </is>
      </c>
    </row>
    <row r="6">
      <c r="A6" t="inlineStr">
        <is>
          <t>CANTIDAD INSTALACIONES</t>
        </is>
      </c>
      <c r="B6" t="n">
        <v>75</v>
      </c>
      <c r="C6" s="773" t="inlineStr">
        <is>
          <t>UN</t>
        </is>
      </c>
    </row>
    <row r="7">
      <c r="A7" t="inlineStr">
        <is>
          <t>COSTO PROYECTO</t>
        </is>
      </c>
      <c r="B7" s="773">
        <f>PRODUCT(B3:B4)</f>
        <v/>
      </c>
      <c r="C7" s="773" t="inlineStr">
        <is>
          <t>CLP</t>
        </is>
      </c>
    </row>
    <row r="8"/>
    <row r="9">
      <c r="A9" s="531" t="inlineStr">
        <is>
          <t>TOTAL COSTO UNITARIO (BRUTO)</t>
        </is>
      </c>
      <c r="B9" s="774" t="n">
        <v>4267000</v>
      </c>
      <c r="C9" s="774" t="inlineStr">
        <is>
          <t>CLP</t>
        </is>
      </c>
      <c r="D9" t="inlineStr">
        <is>
          <t>&lt;-----</t>
        </is>
      </c>
      <c r="E9" t="inlineStr">
        <is>
          <t>VALOR AJUSTADO EN PESTAÑA GORE</t>
        </is>
      </c>
    </row>
    <row r="10">
      <c r="A10" t="inlineStr">
        <is>
          <t>CANTIDAD INSTALACIONES</t>
        </is>
      </c>
      <c r="B10" t="n">
        <v>75</v>
      </c>
      <c r="C10" s="773" t="inlineStr">
        <is>
          <t>UN</t>
        </is>
      </c>
    </row>
    <row r="11">
      <c r="A11" t="inlineStr">
        <is>
          <t>COSTO PROYECTO</t>
        </is>
      </c>
      <c r="B11" s="773">
        <f>PRODUCT(B7:B8)</f>
        <v/>
      </c>
      <c r="C11" s="773" t="inlineStr">
        <is>
          <t>CLP</t>
        </is>
      </c>
    </row>
    <row r="12"/>
    <row r="13">
      <c r="A13" t="inlineStr">
        <is>
          <t>NUEVA PROPUESTA</t>
        </is>
      </c>
    </row>
    <row r="14">
      <c r="A14" t="inlineStr">
        <is>
          <t>GORE</t>
        </is>
      </c>
      <c r="B14" s="773" t="n">
        <v>280000000</v>
      </c>
      <c r="C14" s="773" t="inlineStr">
        <is>
          <t>CLP</t>
        </is>
      </c>
    </row>
    <row r="15">
      <c r="A15" t="inlineStr">
        <is>
          <t>FUNDACIÓN ACCIONA</t>
        </is>
      </c>
      <c r="B15" s="773" t="n">
        <v>280000000</v>
      </c>
      <c r="C15" s="773" t="inlineStr">
        <is>
          <t>CLP</t>
        </is>
      </c>
    </row>
    <row r="16">
      <c r="A16" s="526" t="inlineStr">
        <is>
          <t>TOTAL</t>
        </is>
      </c>
      <c r="B16" s="775">
        <f>SUM(B12:B13)</f>
        <v/>
      </c>
      <c r="C16" s="773" t="inlineStr">
        <is>
          <t>CLP</t>
        </is>
      </c>
    </row>
    <row r="17">
      <c r="B17" s="773" t="n"/>
      <c r="C17" s="773" t="n"/>
    </row>
    <row r="18">
      <c r="A18" s="531" t="inlineStr">
        <is>
          <t>TOTAL COSTO UNITARIO (BRUTO)</t>
        </is>
      </c>
      <c r="B18" s="774">
        <f>+B7</f>
        <v/>
      </c>
      <c r="C18" s="774" t="inlineStr">
        <is>
          <t>CLP</t>
        </is>
      </c>
    </row>
    <row r="19">
      <c r="A19" s="528" t="inlineStr">
        <is>
          <t>Cantidad Instalaciones</t>
        </is>
      </c>
      <c r="B19" s="528">
        <f>B14/B16</f>
        <v/>
      </c>
      <c r="C19" s="776" t="inlineStr">
        <is>
          <t>UN</t>
        </is>
      </c>
    </row>
    <row r="20"/>
    <row r="21">
      <c r="A21" t="inlineStr">
        <is>
          <t>Cantidad Extra</t>
        </is>
      </c>
      <c r="B21" s="530">
        <f>B8-B17</f>
        <v/>
      </c>
    </row>
  </sheetData>
  <mergeCells count="2">
    <mergeCell ref="A2:E2"/>
    <mergeCell ref="A1:E1"/>
  </mergeCells>
  <pageMargins left="0.7" right="0.7" top="0.75" bottom="0.75" header="0.3" footer="0.3"/>
  <pageSetup orientation="portrait" paperSize="9" verticalDpi="0"/>
  <legacyDrawing xmlns:r="http://schemas.openxmlformats.org/officeDocument/2006/relationships" r:id="anysvml"/>
</worksheet>
</file>

<file path=xl/worksheets/sheet6.xml><?xml version="1.0" encoding="utf-8"?>
<worksheet xmlns="http://schemas.openxmlformats.org/spreadsheetml/2006/main">
  <sheetPr>
    <tabColor rgb="00375623"/>
    <outlinePr summaryBelow="1" summaryRight="1"/>
    <pageSetUpPr/>
  </sheetPr>
  <dimension ref="A1:AO149"/>
  <sheetViews>
    <sheetView showGridLines="0" zoomScale="110" zoomScaleNormal="110" workbookViewId="0">
      <pane xSplit="6" ySplit="4" topLeftCell="X65" activePane="bottomRight" state="frozen"/>
      <selection pane="topRight" activeCell="G1" sqref="G1"/>
      <selection pane="bottomLeft" activeCell="A5" sqref="A5"/>
      <selection pane="bottomRight" activeCell="AJ71" sqref="AJ71"/>
    </sheetView>
  </sheetViews>
  <sheetFormatPr baseColWidth="10" defaultColWidth="11.42578125" defaultRowHeight="11.25" outlineLevelRow="1"/>
  <cols>
    <col width="47" customWidth="1" style="641" min="1" max="1"/>
    <col width="19" customWidth="1" style="641" min="2" max="2"/>
    <col width="10" customWidth="1" style="641" min="3" max="3"/>
    <col width="47" customWidth="1" style="641" min="4" max="4"/>
    <col width="17" customWidth="1" style="641" min="5" max="5"/>
    <col width="17" customWidth="1" style="641" min="6" max="6"/>
    <col width="10" customWidth="1" style="641" min="7" max="7"/>
    <col outlineLevel="1" width="21" customWidth="1" style="641" min="8" max="8"/>
    <col outlineLevel="1" width="21" customWidth="1" style="641" min="9" max="9"/>
    <col hidden="1" outlineLevel="2" width="21" customWidth="1" style="641" min="10" max="10"/>
    <col hidden="1" outlineLevel="2" width="21" customWidth="1" style="641" min="11" max="11"/>
    <col hidden="1" outlineLevel="2" width="21" customWidth="1" style="641" min="12" max="12"/>
    <col hidden="1" outlineLevel="2" width="21" customWidth="1" style="641" min="13" max="13"/>
    <col hidden="1" outlineLevel="2" width="21" customWidth="1" style="641" min="14" max="14"/>
    <col outlineLevel="1" collapsed="1" width="21" customWidth="1" style="641" min="15" max="15"/>
    <col outlineLevel="1" width="21" customWidth="1" style="641" min="16" max="16"/>
    <col outlineLevel="1" width="21" customWidth="1" style="641" min="17" max="17"/>
    <col outlineLevel="1" width="21" customWidth="1" style="641" min="18" max="19"/>
    <col width="25" customWidth="1" style="549" min="19" max="19"/>
    <col width="21" customWidth="1" style="641" min="20" max="20"/>
    <col width="10" customWidth="1" style="641" min="21" max="21"/>
    <col outlineLevel="1" width="21" customWidth="1" style="22" min="22" max="22"/>
    <col outlineLevel="1" width="21" customWidth="1" style="641" min="23" max="23"/>
    <col outlineLevel="1" width="21" customWidth="1" style="641" min="24" max="26"/>
    <col width="21" customWidth="1" style="549" min="25" max="25"/>
    <col width="21" customWidth="1" style="549" min="26" max="26"/>
    <col outlineLevel="1" width="22" customWidth="1" style="641" min="27" max="27"/>
    <col outlineLevel="1" width="22" customWidth="1" style="641" min="28" max="28"/>
    <col outlineLevel="1" width="22" customWidth="1" style="641" min="29" max="29"/>
    <col outlineLevel="1" width="22" customWidth="1" style="641" min="30" max="30"/>
    <col outlineLevel="1" width="22" customWidth="1" style="641" min="31" max="31"/>
    <col outlineLevel="1" width="22" customWidth="1" style="641" min="32" max="32"/>
    <col outlineLevel="1" width="22" customWidth="1" style="641" min="33" max="33"/>
    <col width="22" customWidth="1" style="641" min="34" max="34"/>
    <col width="10" customWidth="1" style="641" min="35" max="35"/>
    <col width="47" customWidth="1" style="641" min="36" max="36"/>
    <col width="10" customWidth="1" style="641" min="37" max="37"/>
    <col width="12" bestFit="1" customWidth="1" style="641" min="38" max="38"/>
    <col width="38" bestFit="1" customWidth="1" style="641" min="39" max="39"/>
    <col width="13" customWidth="1" style="641" min="40" max="41"/>
    <col width="42" customWidth="1" style="549" min="41" max="41"/>
    <col width="11.42578125" customWidth="1" style="641" min="42" max="16384"/>
  </cols>
  <sheetData>
    <row r="1" ht="20" customHeight="1" s="549">
      <c r="A1" s="746" t="inlineStr">
        <is>
          <t>FLUJO BRUTO (PRECIOS BRUTO CON IVA) — LUZ EN CASA · GORE COQUIMBO</t>
        </is>
      </c>
    </row>
    <row r="2"/>
    <row r="3" ht="11.25" customHeight="1" s="549"/>
    <row r="4" ht="24" customHeight="1" s="549">
      <c r="A4" s="747" t="n"/>
      <c r="B4" s="747" t="n"/>
      <c r="C4" s="747" t="n"/>
      <c r="D4" s="747" t="inlineStr">
        <is>
          <t xml:space="preserve">PRECIOS BRUTO </t>
        </is>
      </c>
      <c r="E4" s="747" t="n"/>
      <c r="F4" s="747" t="n"/>
      <c r="G4" s="747" t="n"/>
      <c r="H4" s="747" t="n"/>
      <c r="I4" s="747" t="n"/>
      <c r="J4" s="747" t="n"/>
      <c r="K4" s="747" t="n"/>
      <c r="L4" s="747" t="n"/>
      <c r="M4" s="747" t="n"/>
      <c r="N4" s="747" t="n"/>
      <c r="O4" s="747" t="n"/>
      <c r="P4" s="747" t="inlineStr">
        <is>
          <t>Voluntariado</t>
        </is>
      </c>
      <c r="Q4" s="747" t="inlineStr">
        <is>
          <t>Voluntariado</t>
        </is>
      </c>
      <c r="R4" s="747" t="inlineStr">
        <is>
          <t>Voluntariado</t>
        </is>
      </c>
      <c r="S4" s="747" t="n"/>
      <c r="T4" s="747" t="n"/>
      <c r="U4" s="747" t="n"/>
      <c r="V4" s="747" t="n"/>
      <c r="W4" s="747" t="n"/>
      <c r="X4" s="747" t="n"/>
      <c r="Y4" s="747" t="n"/>
      <c r="Z4" s="747" t="n"/>
      <c r="AA4" s="747" t="n"/>
      <c r="AB4" s="747" t="n"/>
      <c r="AC4" s="747" t="n"/>
      <c r="AD4" s="747" t="n"/>
      <c r="AE4" s="747" t="n"/>
      <c r="AF4" s="747" t="n"/>
      <c r="AG4" s="747" t="n"/>
      <c r="AH4" s="747" t="n"/>
      <c r="AI4" s="747" t="n"/>
      <c r="AJ4" s="747" t="n"/>
      <c r="AK4" s="747" t="n"/>
      <c r="AL4" s="747" t="n"/>
      <c r="AM4" s="747" t="n"/>
      <c r="AN4" s="747" t="n"/>
      <c r="AO4" s="747" t="n"/>
    </row>
    <row r="5" ht="14" customHeight="1" s="549">
      <c r="A5" s="681" t="n"/>
      <c r="B5" s="681" t="inlineStr">
        <is>
          <t>Forma pago</t>
        </is>
      </c>
      <c r="C5" s="689" t="inlineStr">
        <is>
          <t>Nivel</t>
        </is>
      </c>
      <c r="D5" s="688" t="inlineStr">
        <is>
          <t>Item</t>
        </is>
      </c>
      <c r="E5" s="688" t="n"/>
      <c r="F5" s="688" t="n"/>
      <c r="G5" s="681" t="n"/>
      <c r="H5" s="777" t="n">
        <v>46023</v>
      </c>
      <c r="I5" s="777" t="n">
        <v>46054</v>
      </c>
      <c r="J5" s="777" t="n">
        <v>46082</v>
      </c>
      <c r="K5" s="777" t="n">
        <v>46113</v>
      </c>
      <c r="L5" s="777" t="n">
        <v>46143</v>
      </c>
      <c r="M5" s="777" t="n">
        <v>46174</v>
      </c>
      <c r="N5" s="777" t="n">
        <v>46204</v>
      </c>
      <c r="O5" s="777" t="n">
        <v>46235</v>
      </c>
      <c r="P5" s="777" t="n">
        <v>46266</v>
      </c>
      <c r="Q5" s="777" t="n">
        <v>46296</v>
      </c>
      <c r="R5" s="777" t="n">
        <v>46327</v>
      </c>
      <c r="S5" s="777" t="n">
        <v>46357</v>
      </c>
      <c r="T5" s="778" t="n">
        <v>2026</v>
      </c>
      <c r="U5" s="681" t="n"/>
      <c r="V5" s="777" t="n">
        <v>46388</v>
      </c>
      <c r="W5" s="777" t="n">
        <v>46419</v>
      </c>
      <c r="X5" s="777" t="n">
        <v>46447</v>
      </c>
      <c r="Y5" s="777" t="n">
        <v>46478</v>
      </c>
      <c r="Z5" s="777" t="n">
        <v>46508</v>
      </c>
      <c r="AA5" s="777" t="n">
        <v>46539</v>
      </c>
      <c r="AB5" s="777" t="n">
        <v>46569</v>
      </c>
      <c r="AC5" s="777" t="n">
        <v>46600</v>
      </c>
      <c r="AD5" s="777" t="n">
        <v>46631</v>
      </c>
      <c r="AE5" s="777" t="n">
        <v>46661</v>
      </c>
      <c r="AF5" s="777" t="n">
        <v>46692</v>
      </c>
      <c r="AG5" s="777" t="n">
        <v>46722</v>
      </c>
      <c r="AH5" s="778" t="n">
        <v>2026</v>
      </c>
      <c r="AI5" s="681" t="n"/>
      <c r="AJ5" s="779" t="inlineStr">
        <is>
          <t>TOTAL</t>
        </is>
      </c>
      <c r="AK5" s="681" t="n"/>
      <c r="AL5" s="681" t="n"/>
      <c r="AM5" s="681" t="n"/>
      <c r="AN5" s="681" t="n"/>
      <c r="AO5" s="681" t="n"/>
    </row>
    <row r="6" outlineLevel="1" ht="14" customHeight="1" s="549">
      <c r="A6" s="686" t="n"/>
      <c r="B6" s="686" t="n"/>
      <c r="C6" s="771" t="n">
        <v>1</v>
      </c>
      <c r="D6" s="682" t="inlineStr">
        <is>
          <t>Compras activables ZIMPERTEC</t>
        </is>
      </c>
      <c r="E6" s="780">
        <f>+Supuestos!E8</f>
        <v/>
      </c>
      <c r="F6" s="682">
        <f>+F76</f>
        <v/>
      </c>
      <c r="G6" s="686" t="n"/>
      <c r="H6" s="781">
        <f>+SUM(H6:H15)</f>
        <v/>
      </c>
      <c r="I6" s="781">
        <f>+SUM(I6:I15)</f>
        <v/>
      </c>
      <c r="J6" s="781">
        <f>+SUM(J6:J15)</f>
        <v/>
      </c>
      <c r="K6" s="781">
        <f>+SUM(K6:K15)</f>
        <v/>
      </c>
      <c r="L6" s="781">
        <f>+SUM(L6:L15)</f>
        <v/>
      </c>
      <c r="M6" s="781">
        <f>+SUM(M6:M15)</f>
        <v/>
      </c>
      <c r="N6" s="781">
        <f>+SUM(N6:N15)</f>
        <v/>
      </c>
      <c r="O6" s="781">
        <f>+SUM(O6:O15)</f>
        <v/>
      </c>
      <c r="P6" s="781">
        <f>+SUM(P6:P15)</f>
        <v/>
      </c>
      <c r="Q6" s="781">
        <f>+SUM(Q6:Q15)</f>
        <v/>
      </c>
      <c r="R6" s="781">
        <f>+SUM(R6:R15)</f>
        <v/>
      </c>
      <c r="S6" s="781">
        <f>+SUM(S6:S15)</f>
        <v/>
      </c>
      <c r="T6" s="782">
        <f>SUM(H5:S5)</f>
        <v/>
      </c>
      <c r="U6" s="686" t="n"/>
      <c r="V6" s="781">
        <f>+SUM(V6:V15)</f>
        <v/>
      </c>
      <c r="W6" s="781">
        <f>+SUM(W6:W15)</f>
        <v/>
      </c>
      <c r="X6" s="781">
        <f>+SUM(X6:X15)</f>
        <v/>
      </c>
      <c r="Y6" s="781">
        <f>+SUM(Y6:Y15)</f>
        <v/>
      </c>
      <c r="Z6" s="781">
        <f>+SUM(Z6:Z15)</f>
        <v/>
      </c>
      <c r="AA6" s="781">
        <f>+SUM(AA6:AA15)</f>
        <v/>
      </c>
      <c r="AB6" s="781">
        <f>+SUM(AB6:AB15)</f>
        <v/>
      </c>
      <c r="AC6" s="781">
        <f>+SUM(AC6:AC15)</f>
        <v/>
      </c>
      <c r="AD6" s="781">
        <f>+SUM(AD6:AD15)</f>
        <v/>
      </c>
      <c r="AE6" s="781">
        <f>+SUM(AE6:AE15)</f>
        <v/>
      </c>
      <c r="AF6" s="781">
        <f>+SUM(AF6:AF15)</f>
        <v/>
      </c>
      <c r="AG6" s="781">
        <f>+SUM(AG6:AG15)</f>
        <v/>
      </c>
      <c r="AH6" s="782">
        <f>SUM(V5:AG5)</f>
        <v/>
      </c>
      <c r="AI6" s="686" t="n"/>
      <c r="AJ6" s="782">
        <f>+AH5+T5</f>
        <v/>
      </c>
      <c r="AK6" s="686" t="n"/>
      <c r="AL6" s="686" t="n"/>
      <c r="AM6" s="686" t="n"/>
      <c r="AN6" s="686" t="n"/>
      <c r="AO6" s="686" t="n"/>
    </row>
    <row r="7" outlineLevel="1" ht="14" customHeight="1" s="549">
      <c r="A7" s="681" t="n"/>
      <c r="B7" s="681" t="inlineStr">
        <is>
          <t>Factura</t>
        </is>
      </c>
      <c r="C7" s="783" t="inlineStr">
        <is>
          <t>1.1</t>
        </is>
      </c>
      <c r="D7" s="784" t="inlineStr">
        <is>
          <t>Sistemas AC</t>
        </is>
      </c>
      <c r="E7" s="785">
        <f>+Supuestos!G9</f>
        <v/>
      </c>
      <c r="F7" s="786">
        <f>+F77</f>
        <v/>
      </c>
      <c r="G7" s="681" t="n"/>
      <c r="H7" s="787">
        <f>+$E6*H77</f>
        <v/>
      </c>
      <c r="I7" s="787">
        <f>+$E6*I77</f>
        <v/>
      </c>
      <c r="J7" s="787">
        <f>+$E6*J77</f>
        <v/>
      </c>
      <c r="K7" s="787">
        <f>+$E6*K77</f>
        <v/>
      </c>
      <c r="L7" s="787">
        <f>+$E6*L77</f>
        <v/>
      </c>
      <c r="M7" s="787">
        <f>+$E6*M77</f>
        <v/>
      </c>
      <c r="N7" s="787">
        <f>+$E6*N77</f>
        <v/>
      </c>
      <c r="O7" s="787">
        <f>+$E6*O77</f>
        <v/>
      </c>
      <c r="P7" s="787">
        <f>+$E6*P77</f>
        <v/>
      </c>
      <c r="Q7" s="787">
        <f>+$E6*Q77</f>
        <v/>
      </c>
      <c r="R7" s="787">
        <f>+$E6*R77</f>
        <v/>
      </c>
      <c r="S7" s="787">
        <f>+$E6*S77</f>
        <v/>
      </c>
      <c r="T7" s="787">
        <f>SUM(H6:S6)</f>
        <v/>
      </c>
      <c r="U7" s="681" t="n"/>
      <c r="V7" s="787">
        <f>+$E6*V77</f>
        <v/>
      </c>
      <c r="W7" s="787">
        <f>+$E6*W77</f>
        <v/>
      </c>
      <c r="X7" s="787">
        <f>+$E6*X77</f>
        <v/>
      </c>
      <c r="Y7" s="787">
        <f>+$E6*Y77</f>
        <v/>
      </c>
      <c r="Z7" s="787">
        <f>+$E6*Z77</f>
        <v/>
      </c>
      <c r="AA7" s="787">
        <f>+$E6*AA77</f>
        <v/>
      </c>
      <c r="AB7" s="787">
        <f>+$E6*AB77</f>
        <v/>
      </c>
      <c r="AC7" s="787">
        <f>+$E6*AC77</f>
        <v/>
      </c>
      <c r="AD7" s="787">
        <f>+$E6*AD77</f>
        <v/>
      </c>
      <c r="AE7" s="787">
        <f>+$E6*AE77</f>
        <v/>
      </c>
      <c r="AF7" s="787">
        <f>+$E6*AF77</f>
        <v/>
      </c>
      <c r="AG7" s="787">
        <f>+$E6*AG77</f>
        <v/>
      </c>
      <c r="AH7" s="787">
        <f>SUM(V6:AG6)</f>
        <v/>
      </c>
      <c r="AI7" s="681" t="n"/>
      <c r="AJ7" s="787">
        <f>+AH6+T6</f>
        <v/>
      </c>
      <c r="AK7" s="681" t="n"/>
      <c r="AL7" s="681" t="n"/>
      <c r="AM7" s="681" t="n"/>
      <c r="AN7" s="681" t="n"/>
      <c r="AO7" s="681" t="n"/>
    </row>
    <row r="8" outlineLevel="1" ht="14" customHeight="1" s="549">
      <c r="A8" s="686" t="n"/>
      <c r="B8" s="686" t="inlineStr">
        <is>
          <t>Factura</t>
        </is>
      </c>
      <c r="C8" s="788" t="inlineStr">
        <is>
          <t>1.2</t>
        </is>
      </c>
      <c r="D8" s="789" t="inlineStr">
        <is>
          <t xml:space="preserve">Paneles </t>
        </is>
      </c>
      <c r="E8" s="790">
        <f>+Supuestos!G10</f>
        <v/>
      </c>
      <c r="F8" s="791">
        <f>+F78</f>
        <v/>
      </c>
      <c r="G8" s="686" t="n"/>
      <c r="H8" s="782">
        <f>+$E7*H78</f>
        <v/>
      </c>
      <c r="I8" s="782">
        <f>+$E7*I78</f>
        <v/>
      </c>
      <c r="J8" s="782">
        <f>+$E7*J78</f>
        <v/>
      </c>
      <c r="K8" s="782">
        <f>+$E7*K78</f>
        <v/>
      </c>
      <c r="L8" s="782">
        <f>+$E7*L78</f>
        <v/>
      </c>
      <c r="M8" s="782">
        <f>+$E7*M78</f>
        <v/>
      </c>
      <c r="N8" s="782">
        <f>+$E7*N78</f>
        <v/>
      </c>
      <c r="O8" s="782">
        <f>+$E7*O78</f>
        <v/>
      </c>
      <c r="P8" s="782">
        <f>+$E7*P78</f>
        <v/>
      </c>
      <c r="Q8" s="782">
        <f>+$E7*Q78</f>
        <v/>
      </c>
      <c r="R8" s="782">
        <f>+$E7*R78</f>
        <v/>
      </c>
      <c r="S8" s="782">
        <f>+$E7*S78</f>
        <v/>
      </c>
      <c r="T8" s="782">
        <f>SUM(H7:S7)</f>
        <v/>
      </c>
      <c r="U8" s="686" t="n"/>
      <c r="V8" s="782">
        <f>+$E7*V78</f>
        <v/>
      </c>
      <c r="W8" s="782">
        <f>+$E7*W78</f>
        <v/>
      </c>
      <c r="X8" s="782">
        <f>+$E7*X78</f>
        <v/>
      </c>
      <c r="Y8" s="782">
        <f>+$E7*Y78</f>
        <v/>
      </c>
      <c r="Z8" s="782">
        <f>+$E7*Z78</f>
        <v/>
      </c>
      <c r="AA8" s="782">
        <f>+$E7*AA78</f>
        <v/>
      </c>
      <c r="AB8" s="782">
        <f>+$E7*AB78</f>
        <v/>
      </c>
      <c r="AC8" s="782">
        <f>+$E7*AC78</f>
        <v/>
      </c>
      <c r="AD8" s="782">
        <f>+$E7*AD78</f>
        <v/>
      </c>
      <c r="AE8" s="782">
        <f>+$E7*AE78</f>
        <v/>
      </c>
      <c r="AF8" s="782">
        <f>+$E7*AF78</f>
        <v/>
      </c>
      <c r="AG8" s="782">
        <f>+$E7*AG78</f>
        <v/>
      </c>
      <c r="AH8" s="782">
        <f>SUM(V7:AG7)</f>
        <v/>
      </c>
      <c r="AI8" s="686" t="n"/>
      <c r="AJ8" s="782">
        <f>+AH7+T7</f>
        <v/>
      </c>
      <c r="AK8" s="686" t="n"/>
      <c r="AL8" s="686" t="n"/>
      <c r="AM8" s="686" t="n"/>
      <c r="AN8" s="686" t="n"/>
      <c r="AO8" s="686" t="n"/>
    </row>
    <row r="9" outlineLevel="1" ht="14" customHeight="1" s="549">
      <c r="A9" s="681" t="n"/>
      <c r="B9" s="681" t="inlineStr">
        <is>
          <t>Factura</t>
        </is>
      </c>
      <c r="C9" s="783" t="inlineStr">
        <is>
          <t>1.3</t>
        </is>
      </c>
      <c r="D9" s="784" t="inlineStr">
        <is>
          <t>Lamparas</t>
        </is>
      </c>
      <c r="E9" s="785">
        <f>+Supuestos!G11</f>
        <v/>
      </c>
      <c r="F9" s="786">
        <f>+F79</f>
        <v/>
      </c>
      <c r="G9" s="681" t="n"/>
      <c r="H9" s="787">
        <f>+$E8*H79</f>
        <v/>
      </c>
      <c r="I9" s="787">
        <f>+$E8*I79</f>
        <v/>
      </c>
      <c r="J9" s="787">
        <f>+$E8*J79</f>
        <v/>
      </c>
      <c r="K9" s="787">
        <f>+$E8*K79</f>
        <v/>
      </c>
      <c r="L9" s="787">
        <f>+$E8*L79</f>
        <v/>
      </c>
      <c r="M9" s="787">
        <f>+$E8*M79</f>
        <v/>
      </c>
      <c r="N9" s="787">
        <f>+$E8*N79</f>
        <v/>
      </c>
      <c r="O9" s="787">
        <f>+$E8*O79</f>
        <v/>
      </c>
      <c r="P9" s="787">
        <f>+$E8*P79</f>
        <v/>
      </c>
      <c r="Q9" s="787">
        <f>+$E8*Q79</f>
        <v/>
      </c>
      <c r="R9" s="787">
        <f>+$E8*R79</f>
        <v/>
      </c>
      <c r="S9" s="787">
        <f>+$E8*S79</f>
        <v/>
      </c>
      <c r="T9" s="787">
        <f>SUM(H8:S8)</f>
        <v/>
      </c>
      <c r="U9" s="681" t="n"/>
      <c r="V9" s="787">
        <f>+$E8*V79</f>
        <v/>
      </c>
      <c r="W9" s="787">
        <f>+$E8*W79</f>
        <v/>
      </c>
      <c r="X9" s="787">
        <f>+$E8*X79</f>
        <v/>
      </c>
      <c r="Y9" s="787">
        <f>+$E8*Y79</f>
        <v/>
      </c>
      <c r="Z9" s="787">
        <f>+$E8*Z79</f>
        <v/>
      </c>
      <c r="AA9" s="787">
        <f>+$E8*AA79</f>
        <v/>
      </c>
      <c r="AB9" s="787">
        <f>+$E8*AB79</f>
        <v/>
      </c>
      <c r="AC9" s="787">
        <f>+$E8*AC79</f>
        <v/>
      </c>
      <c r="AD9" s="787">
        <f>+$E8*AD79</f>
        <v/>
      </c>
      <c r="AE9" s="787">
        <f>+$E8*AE79</f>
        <v/>
      </c>
      <c r="AF9" s="787">
        <f>+$E8*AF79</f>
        <v/>
      </c>
      <c r="AG9" s="787">
        <f>+$E8*AG79</f>
        <v/>
      </c>
      <c r="AH9" s="787">
        <f>SUM(V8:AG8)</f>
        <v/>
      </c>
      <c r="AI9" s="681" t="n"/>
      <c r="AJ9" s="787">
        <f>+AH8+T8</f>
        <v/>
      </c>
      <c r="AK9" s="681" t="n"/>
      <c r="AL9" s="681" t="n"/>
      <c r="AM9" s="681" t="n"/>
      <c r="AN9" s="681" t="n"/>
      <c r="AO9" s="681" t="n"/>
    </row>
    <row r="10" outlineLevel="1" ht="14" customHeight="1" s="549">
      <c r="A10" s="686" t="n"/>
      <c r="B10" s="686" t="inlineStr">
        <is>
          <t>Factura</t>
        </is>
      </c>
      <c r="C10" s="788" t="inlineStr">
        <is>
          <t>1.4</t>
        </is>
      </c>
      <c r="D10" s="789" t="inlineStr">
        <is>
          <t>Hardware Monitoreo</t>
        </is>
      </c>
      <c r="E10" s="790">
        <f>+Supuestos!G12</f>
        <v/>
      </c>
      <c r="F10" s="791">
        <f>+F80</f>
        <v/>
      </c>
      <c r="G10" s="686" t="n"/>
      <c r="H10" s="782">
        <f>+$E9*H80</f>
        <v/>
      </c>
      <c r="I10" s="782">
        <f>+$E9*I80</f>
        <v/>
      </c>
      <c r="J10" s="782">
        <f>+$E9*J80</f>
        <v/>
      </c>
      <c r="K10" s="782">
        <f>+$E9*K80</f>
        <v/>
      </c>
      <c r="L10" s="782">
        <f>+$E9*L80</f>
        <v/>
      </c>
      <c r="M10" s="782">
        <f>+$E9*M80</f>
        <v/>
      </c>
      <c r="N10" s="782">
        <f>+$E9*N80</f>
        <v/>
      </c>
      <c r="O10" s="782">
        <f>+$E9*O80</f>
        <v/>
      </c>
      <c r="P10" s="782">
        <f>+$E9*P80</f>
        <v/>
      </c>
      <c r="Q10" s="782">
        <f>+$E9*Q80</f>
        <v/>
      </c>
      <c r="R10" s="782">
        <f>+$E9*R80</f>
        <v/>
      </c>
      <c r="S10" s="782">
        <f>+$E9*S80</f>
        <v/>
      </c>
      <c r="T10" s="782">
        <f>SUM(H9:S9)</f>
        <v/>
      </c>
      <c r="U10" s="686" t="n"/>
      <c r="V10" s="782">
        <f>+$E9*V80</f>
        <v/>
      </c>
      <c r="W10" s="782">
        <f>+$E9*W80</f>
        <v/>
      </c>
      <c r="X10" s="782">
        <f>+$E9*X80</f>
        <v/>
      </c>
      <c r="Y10" s="782">
        <f>+$E9*Y80</f>
        <v/>
      </c>
      <c r="Z10" s="782">
        <f>+$E9*Z80</f>
        <v/>
      </c>
      <c r="AA10" s="782">
        <f>+$E9*AA80</f>
        <v/>
      </c>
      <c r="AB10" s="782">
        <f>+$E9*AB80</f>
        <v/>
      </c>
      <c r="AC10" s="782">
        <f>+$E9*AC80</f>
        <v/>
      </c>
      <c r="AD10" s="782">
        <f>+$E9*AD80</f>
        <v/>
      </c>
      <c r="AE10" s="782">
        <f>+$E9*AE80</f>
        <v/>
      </c>
      <c r="AF10" s="782">
        <f>+$E9*AF80</f>
        <v/>
      </c>
      <c r="AG10" s="782">
        <f>+$E9*AG80</f>
        <v/>
      </c>
      <c r="AH10" s="782">
        <f>SUM(V9:AG9)</f>
        <v/>
      </c>
      <c r="AI10" s="686" t="n"/>
      <c r="AJ10" s="782">
        <f>+AH9+T9</f>
        <v/>
      </c>
      <c r="AK10" s="686" t="n"/>
      <c r="AL10" s="686" t="n"/>
      <c r="AM10" s="686" t="n"/>
      <c r="AN10" s="686" t="n"/>
      <c r="AO10" s="686" t="n"/>
    </row>
    <row r="11" outlineLevel="1" ht="14" customHeight="1" s="549">
      <c r="A11" s="681" t="n"/>
      <c r="B11" s="681" t="inlineStr">
        <is>
          <t>Factura</t>
        </is>
      </c>
      <c r="C11" s="783" t="inlineStr">
        <is>
          <t>1.5</t>
        </is>
      </c>
      <c r="D11" s="784" t="inlineStr">
        <is>
          <t>Software Monitoreo</t>
        </is>
      </c>
      <c r="E11" s="785">
        <f>+Supuestos!G13</f>
        <v/>
      </c>
      <c r="F11" s="786">
        <f>+F81</f>
        <v/>
      </c>
      <c r="G11" s="681" t="n"/>
      <c r="H11" s="787">
        <f>+$E10*H81</f>
        <v/>
      </c>
      <c r="I11" s="787">
        <f>+$E10*I81</f>
        <v/>
      </c>
      <c r="J11" s="787">
        <f>+$E10*J81</f>
        <v/>
      </c>
      <c r="K11" s="787">
        <f>+$E10*K81</f>
        <v/>
      </c>
      <c r="L11" s="787">
        <f>+$E10*L81</f>
        <v/>
      </c>
      <c r="M11" s="787">
        <f>+$E10*M81</f>
        <v/>
      </c>
      <c r="N11" s="787">
        <f>+$E10*N81</f>
        <v/>
      </c>
      <c r="O11" s="787">
        <f>+$E10*O81</f>
        <v/>
      </c>
      <c r="P11" s="787">
        <f>+$E10*P81</f>
        <v/>
      </c>
      <c r="Q11" s="787">
        <f>+$E10*Q81</f>
        <v/>
      </c>
      <c r="R11" s="787">
        <f>+$E10*R81</f>
        <v/>
      </c>
      <c r="S11" s="787">
        <f>+$E10*S81</f>
        <v/>
      </c>
      <c r="T11" s="787" t="n"/>
      <c r="U11" s="681" t="n"/>
      <c r="V11" s="787">
        <f>+$E10*V81</f>
        <v/>
      </c>
      <c r="W11" s="787">
        <f>+$E10*W81</f>
        <v/>
      </c>
      <c r="X11" s="787">
        <f>+$E10*X81</f>
        <v/>
      </c>
      <c r="Y11" s="787">
        <f>+$E10*Y81</f>
        <v/>
      </c>
      <c r="Z11" s="787">
        <f>+$E10*Z81</f>
        <v/>
      </c>
      <c r="AA11" s="787">
        <f>+$E10*AA81</f>
        <v/>
      </c>
      <c r="AB11" s="787">
        <f>+$E10*AB81</f>
        <v/>
      </c>
      <c r="AC11" s="787">
        <f>+$E10*AC81</f>
        <v/>
      </c>
      <c r="AD11" s="787">
        <f>+$E10*AD81</f>
        <v/>
      </c>
      <c r="AE11" s="787">
        <f>+$E10*AE81</f>
        <v/>
      </c>
      <c r="AF11" s="787">
        <f>+$E10*AF81</f>
        <v/>
      </c>
      <c r="AG11" s="787">
        <f>+$E10*AG81</f>
        <v/>
      </c>
      <c r="AH11" s="787" t="n"/>
      <c r="AI11" s="681" t="n"/>
      <c r="AJ11" s="787">
        <f>+AH10+T10</f>
        <v/>
      </c>
      <c r="AK11" s="681" t="n"/>
      <c r="AL11" s="681" t="n"/>
      <c r="AM11" s="681" t="n"/>
      <c r="AN11" s="681" t="n"/>
      <c r="AO11" s="681" t="n"/>
    </row>
    <row r="12" outlineLevel="1" ht="14" customHeight="1" s="549">
      <c r="A12" s="686" t="n"/>
      <c r="B12" s="686" t="inlineStr">
        <is>
          <t>Factura</t>
        </is>
      </c>
      <c r="C12" s="788" t="inlineStr">
        <is>
          <t>1.6</t>
        </is>
      </c>
      <c r="D12" s="789" t="inlineStr">
        <is>
          <t>Repuestos</t>
        </is>
      </c>
      <c r="E12" s="790">
        <f>+Supuestos!G14</f>
        <v/>
      </c>
      <c r="F12" s="791">
        <f>+F82</f>
        <v/>
      </c>
      <c r="G12" s="686" t="n"/>
      <c r="H12" s="782">
        <f>+$E11*H82</f>
        <v/>
      </c>
      <c r="I12" s="782">
        <f>+$E11*I82</f>
        <v/>
      </c>
      <c r="J12" s="782">
        <f>+$E11*J82</f>
        <v/>
      </c>
      <c r="K12" s="782">
        <f>+$E11*K82</f>
        <v/>
      </c>
      <c r="L12" s="782">
        <f>+$E11*L82</f>
        <v/>
      </c>
      <c r="M12" s="782">
        <f>+$E11*M82</f>
        <v/>
      </c>
      <c r="N12" s="782">
        <f>+$E11*N82</f>
        <v/>
      </c>
      <c r="O12" s="782">
        <f>+$E11*O82</f>
        <v/>
      </c>
      <c r="P12" s="782">
        <f>+$E11*P82</f>
        <v/>
      </c>
      <c r="Q12" s="782">
        <f>+$E11*Q82</f>
        <v/>
      </c>
      <c r="R12" s="782">
        <f>+$E11*R82</f>
        <v/>
      </c>
      <c r="S12" s="782">
        <f>+$E11*S82</f>
        <v/>
      </c>
      <c r="T12" s="782">
        <f>SUM(H11:S11)</f>
        <v/>
      </c>
      <c r="U12" s="686" t="n"/>
      <c r="V12" s="782">
        <f>+$E11*V82</f>
        <v/>
      </c>
      <c r="W12" s="782">
        <f>+$E11*W82</f>
        <v/>
      </c>
      <c r="X12" s="782">
        <f>+$E11*X82</f>
        <v/>
      </c>
      <c r="Y12" s="782">
        <f>+$E11*Y82</f>
        <v/>
      </c>
      <c r="Z12" s="782">
        <f>+$E11*Z82</f>
        <v/>
      </c>
      <c r="AA12" s="782">
        <f>+$E11*AA82</f>
        <v/>
      </c>
      <c r="AB12" s="782">
        <f>+$E11*AB82</f>
        <v/>
      </c>
      <c r="AC12" s="782">
        <f>+$E11*AC82</f>
        <v/>
      </c>
      <c r="AD12" s="782">
        <f>+$E11*AD82</f>
        <v/>
      </c>
      <c r="AE12" s="782">
        <f>+$E11*AE82</f>
        <v/>
      </c>
      <c r="AF12" s="782">
        <f>+$E11*AF82</f>
        <v/>
      </c>
      <c r="AG12" s="782">
        <f>+$E11*AG82</f>
        <v/>
      </c>
      <c r="AH12" s="782">
        <f>SUM(V11:AG11)</f>
        <v/>
      </c>
      <c r="AI12" s="686" t="n"/>
      <c r="AJ12" s="782">
        <f>+AH11+T11</f>
        <v/>
      </c>
      <c r="AK12" s="686" t="n"/>
      <c r="AL12" s="686" t="n"/>
      <c r="AM12" s="686" t="n"/>
      <c r="AN12" s="686" t="n"/>
      <c r="AO12" s="686" t="n"/>
    </row>
    <row r="13" outlineLevel="1" ht="14" customHeight="1" s="549">
      <c r="A13" s="681" t="n"/>
      <c r="B13" s="681" t="inlineStr">
        <is>
          <t>Factura</t>
        </is>
      </c>
      <c r="C13" s="783" t="inlineStr">
        <is>
          <t>1.7</t>
        </is>
      </c>
      <c r="D13" s="784" t="inlineStr">
        <is>
          <t>Flete</t>
        </is>
      </c>
      <c r="E13" s="785">
        <f>+Supuestos!G15</f>
        <v/>
      </c>
      <c r="F13" s="786">
        <f>+F83</f>
        <v/>
      </c>
      <c r="G13" s="681" t="n"/>
      <c r="H13" s="787">
        <f>+$E12*H83</f>
        <v/>
      </c>
      <c r="I13" s="787">
        <f>+$E12*I83</f>
        <v/>
      </c>
      <c r="J13" s="787">
        <f>+$E12*J83</f>
        <v/>
      </c>
      <c r="K13" s="787">
        <f>+$E12*K83</f>
        <v/>
      </c>
      <c r="L13" s="787">
        <f>+$E12*L83</f>
        <v/>
      </c>
      <c r="M13" s="787">
        <f>+$E12*M83</f>
        <v/>
      </c>
      <c r="N13" s="787">
        <f>+$E12*N83</f>
        <v/>
      </c>
      <c r="O13" s="787">
        <f>+$E12*O83</f>
        <v/>
      </c>
      <c r="P13" s="787">
        <f>+$E12*P83</f>
        <v/>
      </c>
      <c r="Q13" s="787">
        <f>+$E12*Q83</f>
        <v/>
      </c>
      <c r="R13" s="787">
        <f>+$E12*R83</f>
        <v/>
      </c>
      <c r="S13" s="787">
        <f>+$E12*S83</f>
        <v/>
      </c>
      <c r="T13" s="787">
        <f>SUM(H12:S12)</f>
        <v/>
      </c>
      <c r="U13" s="681" t="n"/>
      <c r="V13" s="787">
        <f>+$E12*V83</f>
        <v/>
      </c>
      <c r="W13" s="787">
        <f>+$E12*W83</f>
        <v/>
      </c>
      <c r="X13" s="787">
        <f>+$E12*X83</f>
        <v/>
      </c>
      <c r="Y13" s="787">
        <f>+$E12*Y83</f>
        <v/>
      </c>
      <c r="Z13" s="787">
        <f>+$E12*Z83</f>
        <v/>
      </c>
      <c r="AA13" s="787">
        <f>+$E12*AA83</f>
        <v/>
      </c>
      <c r="AB13" s="787">
        <f>+$E12*AB83</f>
        <v/>
      </c>
      <c r="AC13" s="787">
        <f>+$E12*AC83</f>
        <v/>
      </c>
      <c r="AD13" s="787">
        <f>+$E12*AD83</f>
        <v/>
      </c>
      <c r="AE13" s="787">
        <f>+$E12*AE83</f>
        <v/>
      </c>
      <c r="AF13" s="787">
        <f>+$E12*AF83</f>
        <v/>
      </c>
      <c r="AG13" s="787">
        <f>+$E12*AG83</f>
        <v/>
      </c>
      <c r="AH13" s="787">
        <f>SUM(V12:AG12)</f>
        <v/>
      </c>
      <c r="AI13" s="681" t="n"/>
      <c r="AJ13" s="787">
        <f>+AH12+T12</f>
        <v/>
      </c>
      <c r="AK13" s="681" t="n"/>
      <c r="AL13" s="681" t="n"/>
      <c r="AM13" s="681" t="n"/>
      <c r="AN13" s="681" t="n"/>
      <c r="AO13" s="681" t="n"/>
    </row>
    <row r="14" outlineLevel="1" ht="14" customHeight="1" s="549">
      <c r="A14" s="686" t="n"/>
      <c r="B14" s="686" t="inlineStr">
        <is>
          <t>Factura</t>
        </is>
      </c>
      <c r="C14" s="788" t="inlineStr">
        <is>
          <t>7.2</t>
        </is>
      </c>
      <c r="D14" s="789" t="inlineStr">
        <is>
          <t>Transporte DESCONSOLIDADO</t>
        </is>
      </c>
      <c r="E14" s="790">
        <f>+Supuestos!G16</f>
        <v/>
      </c>
      <c r="F14" s="789">
        <f>+F84</f>
        <v/>
      </c>
      <c r="G14" s="686" t="n"/>
      <c r="H14" s="782">
        <f>+$E13*H84</f>
        <v/>
      </c>
      <c r="I14" s="782">
        <f>+$E13*I84</f>
        <v/>
      </c>
      <c r="J14" s="782">
        <f>+$E13*J84</f>
        <v/>
      </c>
      <c r="K14" s="782">
        <f>+$E13*K84</f>
        <v/>
      </c>
      <c r="L14" s="782">
        <f>+$E13*L84</f>
        <v/>
      </c>
      <c r="M14" s="782">
        <f>+$E13*M84</f>
        <v/>
      </c>
      <c r="N14" s="782">
        <f>+$E13*N84</f>
        <v/>
      </c>
      <c r="O14" s="782">
        <f>+$E13*O84</f>
        <v/>
      </c>
      <c r="P14" s="782">
        <f>+$E13*P84</f>
        <v/>
      </c>
      <c r="Q14" s="782">
        <f>+$E13*Q84</f>
        <v/>
      </c>
      <c r="R14" s="782">
        <f>+$E13*R84</f>
        <v/>
      </c>
      <c r="S14" s="782">
        <f>+$E13*S84</f>
        <v/>
      </c>
      <c r="T14" s="782">
        <f>SUM(H13:S13)</f>
        <v/>
      </c>
      <c r="U14" s="686" t="n"/>
      <c r="V14" s="782">
        <f>+$E13*V84</f>
        <v/>
      </c>
      <c r="W14" s="782">
        <f>+$E13*W84</f>
        <v/>
      </c>
      <c r="X14" s="782">
        <f>+$E13*X84</f>
        <v/>
      </c>
      <c r="Y14" s="782">
        <f>+$E13*Y84</f>
        <v/>
      </c>
      <c r="Z14" s="782">
        <f>+$E13*Z84</f>
        <v/>
      </c>
      <c r="AA14" s="782">
        <f>+$E13*AA84</f>
        <v/>
      </c>
      <c r="AB14" s="782">
        <f>+$E13*AB84</f>
        <v/>
      </c>
      <c r="AC14" s="782">
        <f>+$E13*AC84</f>
        <v/>
      </c>
      <c r="AD14" s="782">
        <f>+$E13*AD84</f>
        <v/>
      </c>
      <c r="AE14" s="782">
        <f>+$E13*AE84</f>
        <v/>
      </c>
      <c r="AF14" s="782">
        <f>+$E13*AF84</f>
        <v/>
      </c>
      <c r="AG14" s="782">
        <f>+$E13*AG84</f>
        <v/>
      </c>
      <c r="AH14" s="782">
        <f>SUM(V13:AG13)</f>
        <v/>
      </c>
      <c r="AI14" s="686" t="n"/>
      <c r="AJ14" s="782">
        <f>+AH13+T13</f>
        <v/>
      </c>
      <c r="AK14" s="686" t="n"/>
      <c r="AL14" s="686" t="n"/>
      <c r="AM14" s="686" t="n"/>
      <c r="AN14" s="686" t="n"/>
      <c r="AO14" s="686" t="n"/>
    </row>
    <row r="15" outlineLevel="1" ht="14" customHeight="1" s="549">
      <c r="A15" s="681" t="n"/>
      <c r="B15" s="681" t="inlineStr">
        <is>
          <t>Factura</t>
        </is>
      </c>
      <c r="C15" s="783" t="inlineStr">
        <is>
          <t>7.5</t>
        </is>
      </c>
      <c r="D15" s="784" t="inlineStr">
        <is>
          <t>Grúa en Origen</t>
        </is>
      </c>
      <c r="E15" s="785">
        <f>+Supuestos!G17</f>
        <v/>
      </c>
      <c r="F15" s="784">
        <f>+F85</f>
        <v/>
      </c>
      <c r="G15" s="681" t="n"/>
      <c r="H15" s="787">
        <f>+$E14*H85</f>
        <v/>
      </c>
      <c r="I15" s="787">
        <f>+$E14*I85</f>
        <v/>
      </c>
      <c r="J15" s="787">
        <f>+$E14*J85</f>
        <v/>
      </c>
      <c r="K15" s="787">
        <f>+$E14*K85</f>
        <v/>
      </c>
      <c r="L15" s="787">
        <f>+$E14*L85</f>
        <v/>
      </c>
      <c r="M15" s="787">
        <f>+$E14*M85</f>
        <v/>
      </c>
      <c r="N15" s="787">
        <f>+$E14*N85</f>
        <v/>
      </c>
      <c r="O15" s="787">
        <f>+$E14*O85</f>
        <v/>
      </c>
      <c r="P15" s="787">
        <f>+$E14*P85</f>
        <v/>
      </c>
      <c r="Q15" s="787">
        <f>+$E14*Q85</f>
        <v/>
      </c>
      <c r="R15" s="787">
        <f>+$E14*R85</f>
        <v/>
      </c>
      <c r="S15" s="787">
        <f>+$E14*S85</f>
        <v/>
      </c>
      <c r="T15" s="787">
        <f>SUM(H14:S14)</f>
        <v/>
      </c>
      <c r="U15" s="681" t="n"/>
      <c r="V15" s="787">
        <f>+$E14*V85</f>
        <v/>
      </c>
      <c r="W15" s="787">
        <f>+$E14*W85</f>
        <v/>
      </c>
      <c r="X15" s="787">
        <f>+$E14*X85</f>
        <v/>
      </c>
      <c r="Y15" s="787">
        <f>+$E14*Y85</f>
        <v/>
      </c>
      <c r="Z15" s="787">
        <f>+$E14*Z85</f>
        <v/>
      </c>
      <c r="AA15" s="787">
        <f>+$E14*AA85</f>
        <v/>
      </c>
      <c r="AB15" s="787">
        <f>+$E14*AB85</f>
        <v/>
      </c>
      <c r="AC15" s="787">
        <f>+$E14*AC85</f>
        <v/>
      </c>
      <c r="AD15" s="787">
        <f>+$E14*AD85</f>
        <v/>
      </c>
      <c r="AE15" s="787">
        <f>+$E14*AE85</f>
        <v/>
      </c>
      <c r="AF15" s="787">
        <f>+$E14*AF85</f>
        <v/>
      </c>
      <c r="AG15" s="787">
        <f>+$E14*AG85</f>
        <v/>
      </c>
      <c r="AH15" s="787">
        <f>SUM(V14:AG14)</f>
        <v/>
      </c>
      <c r="AI15" s="681" t="n"/>
      <c r="AJ15" s="787">
        <f>+AH14+T14</f>
        <v/>
      </c>
      <c r="AK15" s="681" t="n"/>
      <c r="AL15" s="681" t="n"/>
      <c r="AM15" s="681" t="n"/>
      <c r="AN15" s="681" t="n"/>
      <c r="AO15" s="681" t="n"/>
    </row>
    <row r="16" ht="14" customHeight="1" s="549">
      <c r="A16" s="686" t="n"/>
      <c r="B16" s="686" t="inlineStr">
        <is>
          <t>Factura</t>
        </is>
      </c>
      <c r="C16" s="788" t="inlineStr">
        <is>
          <t>7.6</t>
        </is>
      </c>
      <c r="D16" s="789" t="inlineStr">
        <is>
          <t>Grúa en Punto Destino (6 Horas)</t>
        </is>
      </c>
      <c r="E16" s="790">
        <f>+Supuestos!G18</f>
        <v/>
      </c>
      <c r="F16" s="789">
        <f>+F86</f>
        <v/>
      </c>
      <c r="G16" s="686" t="n"/>
      <c r="H16" s="782">
        <f>+$E15*H86</f>
        <v/>
      </c>
      <c r="I16" s="782">
        <f>+$E15*I86</f>
        <v/>
      </c>
      <c r="J16" s="782">
        <f>+$E15*J86</f>
        <v/>
      </c>
      <c r="K16" s="782">
        <f>+$E15*K86</f>
        <v/>
      </c>
      <c r="L16" s="782">
        <f>+$E15*L86</f>
        <v/>
      </c>
      <c r="M16" s="782">
        <f>+$E15*M86</f>
        <v/>
      </c>
      <c r="N16" s="782">
        <f>+$E15*N86</f>
        <v/>
      </c>
      <c r="O16" s="782">
        <f>+$E15*O86</f>
        <v/>
      </c>
      <c r="P16" s="782">
        <f>+$E15*P86</f>
        <v/>
      </c>
      <c r="Q16" s="782">
        <f>+$E15*Q86</f>
        <v/>
      </c>
      <c r="R16" s="782">
        <f>+$E15*R86</f>
        <v/>
      </c>
      <c r="S16" s="782">
        <f>+$E15*S86</f>
        <v/>
      </c>
      <c r="T16" s="782">
        <f>SUM(H15:S15)</f>
        <v/>
      </c>
      <c r="U16" s="686" t="n"/>
      <c r="V16" s="782">
        <f>+$E15*V86</f>
        <v/>
      </c>
      <c r="W16" s="782">
        <f>+$E15*W86</f>
        <v/>
      </c>
      <c r="X16" s="782">
        <f>+$E15*X86</f>
        <v/>
      </c>
      <c r="Y16" s="782">
        <f>+$E15*Y86</f>
        <v/>
      </c>
      <c r="Z16" s="782">
        <f>+$E15*Z86</f>
        <v/>
      </c>
      <c r="AA16" s="782">
        <f>+$E15*AA86</f>
        <v/>
      </c>
      <c r="AB16" s="782">
        <f>+$E15*AB86</f>
        <v/>
      </c>
      <c r="AC16" s="782">
        <f>+$E15*AC86</f>
        <v/>
      </c>
      <c r="AD16" s="782">
        <f>+$E15*AD86</f>
        <v/>
      </c>
      <c r="AE16" s="782">
        <f>+$E15*AE86</f>
        <v/>
      </c>
      <c r="AF16" s="782">
        <f>+$E15*AF86</f>
        <v/>
      </c>
      <c r="AG16" s="782">
        <f>+$E15*AG86</f>
        <v/>
      </c>
      <c r="AH16" s="782">
        <f>SUM(V15:AG15)</f>
        <v/>
      </c>
      <c r="AI16" s="686" t="n"/>
      <c r="AJ16" s="782">
        <f>+AH15+T15</f>
        <v/>
      </c>
      <c r="AK16" s="686" t="n"/>
      <c r="AL16" s="686" t="n"/>
      <c r="AM16" s="686" t="n"/>
      <c r="AN16" s="686" t="n"/>
      <c r="AO16" s="686" t="n"/>
    </row>
    <row r="17" outlineLevel="1" ht="14" customHeight="1" s="549">
      <c r="A17" s="681" t="n"/>
      <c r="B17" s="681" t="n"/>
      <c r="C17" s="712" t="n">
        <v>2</v>
      </c>
      <c r="D17" s="688" t="inlineStr">
        <is>
          <t>Insumos Instalación</t>
        </is>
      </c>
      <c r="E17" s="792">
        <f>+Supuestos!E19</f>
        <v/>
      </c>
      <c r="F17" s="688">
        <f>+F87</f>
        <v/>
      </c>
      <c r="G17" s="681" t="n"/>
      <c r="H17" s="793">
        <f>+SUM(H17:H19)</f>
        <v/>
      </c>
      <c r="I17" s="793">
        <f>+SUM(I17:I19)</f>
        <v/>
      </c>
      <c r="J17" s="793">
        <f>+SUM(J17:J19)</f>
        <v/>
      </c>
      <c r="K17" s="793">
        <f>+SUM(K17:K19)</f>
        <v/>
      </c>
      <c r="L17" s="793">
        <f>+SUM(L17:L19)</f>
        <v/>
      </c>
      <c r="M17" s="793">
        <f>+SUM(M17:M19)</f>
        <v/>
      </c>
      <c r="N17" s="793">
        <f>+SUM(N17:N19)</f>
        <v/>
      </c>
      <c r="O17" s="793">
        <f>+SUM(O17:O19)</f>
        <v/>
      </c>
      <c r="P17" s="793">
        <f>+SUM(P17:P19)</f>
        <v/>
      </c>
      <c r="Q17" s="793">
        <f>+SUM(Q17:Q19)</f>
        <v/>
      </c>
      <c r="R17" s="793">
        <f>+SUM(R17:R19)</f>
        <v/>
      </c>
      <c r="S17" s="793">
        <f>+SUM(S17:S19)</f>
        <v/>
      </c>
      <c r="T17" s="787">
        <f>SUM(H16:S16)</f>
        <v/>
      </c>
      <c r="U17" s="681" t="n"/>
      <c r="V17" s="793">
        <f>+SUM(V17:V19)</f>
        <v/>
      </c>
      <c r="W17" s="793">
        <f>+SUM(W17:W19)</f>
        <v/>
      </c>
      <c r="X17" s="793">
        <f>+SUM(X17:X19)</f>
        <v/>
      </c>
      <c r="Y17" s="793">
        <f>+SUM(Y17:Y19)</f>
        <v/>
      </c>
      <c r="Z17" s="793">
        <f>+SUM(Z17:Z19)</f>
        <v/>
      </c>
      <c r="AA17" s="793">
        <f>+SUM(AA17:AA19)</f>
        <v/>
      </c>
      <c r="AB17" s="793">
        <f>+SUM(AB17:AB19)</f>
        <v/>
      </c>
      <c r="AC17" s="793">
        <f>+SUM(AC17:AC19)</f>
        <v/>
      </c>
      <c r="AD17" s="793">
        <f>+SUM(AD17:AD19)</f>
        <v/>
      </c>
      <c r="AE17" s="793">
        <f>+SUM(AE17:AE19)</f>
        <v/>
      </c>
      <c r="AF17" s="793">
        <f>+SUM(AF17:AF19)</f>
        <v/>
      </c>
      <c r="AG17" s="793">
        <f>+SUM(AG17:AG19)</f>
        <v/>
      </c>
      <c r="AH17" s="787">
        <f>SUM(V16:AG16)</f>
        <v/>
      </c>
      <c r="AI17" s="681" t="n"/>
      <c r="AJ17" s="787">
        <f>+AH16+T16</f>
        <v/>
      </c>
      <c r="AK17" s="681" t="n"/>
      <c r="AL17" s="681" t="n"/>
      <c r="AM17" s="681" t="n"/>
      <c r="AN17" s="681" t="n"/>
      <c r="AO17" s="681" t="n"/>
    </row>
    <row r="18" outlineLevel="1" ht="14" customHeight="1" s="549">
      <c r="A18" s="686" t="n"/>
      <c r="B18" s="686" t="inlineStr">
        <is>
          <t>Factura</t>
        </is>
      </c>
      <c r="C18" s="788" t="inlineStr">
        <is>
          <t>2.1</t>
        </is>
      </c>
      <c r="D18" s="789" t="inlineStr">
        <is>
          <t>Estructura</t>
        </is>
      </c>
      <c r="E18" s="790">
        <f>+Supuestos!G20</f>
        <v/>
      </c>
      <c r="F18" s="789">
        <f>+F88</f>
        <v/>
      </c>
      <c r="G18" s="686" t="n"/>
      <c r="H18" s="782">
        <f>+$E17*H88</f>
        <v/>
      </c>
      <c r="I18" s="782">
        <f>+$E17*I88</f>
        <v/>
      </c>
      <c r="J18" s="782">
        <f>+$E17*J88</f>
        <v/>
      </c>
      <c r="K18" s="782">
        <f>+$E17*K88</f>
        <v/>
      </c>
      <c r="L18" s="782">
        <f>+$E17*L88</f>
        <v/>
      </c>
      <c r="M18" s="782">
        <f>+$E17*M88</f>
        <v/>
      </c>
      <c r="N18" s="782">
        <f>+$E17*N88</f>
        <v/>
      </c>
      <c r="O18" s="782">
        <f>+$E17*O88</f>
        <v/>
      </c>
      <c r="P18" s="782">
        <f>+$E17*P88</f>
        <v/>
      </c>
      <c r="Q18" s="782">
        <f>+$E17*Q88</f>
        <v/>
      </c>
      <c r="R18" s="782">
        <f>+$E17*R88</f>
        <v/>
      </c>
      <c r="S18" s="782">
        <f>+$E17*S88</f>
        <v/>
      </c>
      <c r="T18" s="782">
        <f>SUM(H17:S17)</f>
        <v/>
      </c>
      <c r="U18" s="686" t="n"/>
      <c r="V18" s="782">
        <f>+$E17*V88</f>
        <v/>
      </c>
      <c r="W18" s="782">
        <f>+$E17*W88</f>
        <v/>
      </c>
      <c r="X18" s="782">
        <f>+$E17*X88</f>
        <v/>
      </c>
      <c r="Y18" s="782">
        <f>+$E17*Y88</f>
        <v/>
      </c>
      <c r="Z18" s="782">
        <f>+$E17*Z88</f>
        <v/>
      </c>
      <c r="AA18" s="782">
        <f>+$E17*AA88</f>
        <v/>
      </c>
      <c r="AB18" s="782">
        <f>+$E17*AB88</f>
        <v/>
      </c>
      <c r="AC18" s="782">
        <f>+$E17*AC88</f>
        <v/>
      </c>
      <c r="AD18" s="782">
        <f>+$E17*AD88</f>
        <v/>
      </c>
      <c r="AE18" s="782">
        <f>+$E17*AE88</f>
        <v/>
      </c>
      <c r="AF18" s="782">
        <f>+$E17*AF88</f>
        <v/>
      </c>
      <c r="AG18" s="782">
        <f>+$E17*AG88</f>
        <v/>
      </c>
      <c r="AH18" s="782">
        <f>SUM(V17:AG17)</f>
        <v/>
      </c>
      <c r="AI18" s="686" t="n"/>
      <c r="AJ18" s="782">
        <f>+AH17+T17</f>
        <v/>
      </c>
      <c r="AK18" s="686" t="n"/>
      <c r="AL18" s="686" t="n"/>
      <c r="AM18" s="686" t="n"/>
      <c r="AN18" s="686" t="n"/>
      <c r="AO18" s="686" t="n"/>
    </row>
    <row r="19" outlineLevel="1" ht="14" customHeight="1" s="549">
      <c r="A19" s="681" t="n"/>
      <c r="B19" s="681" t="inlineStr">
        <is>
          <t xml:space="preserve">Factura o Boleta </t>
        </is>
      </c>
      <c r="C19" s="783" t="inlineStr">
        <is>
          <t>2.2</t>
        </is>
      </c>
      <c r="D19" s="784" t="inlineStr">
        <is>
          <t>Materiales instalación</t>
        </is>
      </c>
      <c r="E19" s="785">
        <f>+Supuestos!G21</f>
        <v/>
      </c>
      <c r="F19" s="784">
        <f>+F89</f>
        <v/>
      </c>
      <c r="G19" s="681" t="n"/>
      <c r="H19" s="787">
        <f>+$E18*H89</f>
        <v/>
      </c>
      <c r="I19" s="787">
        <f>+$E18*I89</f>
        <v/>
      </c>
      <c r="J19" s="787">
        <f>+$E18*J89</f>
        <v/>
      </c>
      <c r="K19" s="787">
        <f>+$E18*K89</f>
        <v/>
      </c>
      <c r="L19" s="787">
        <f>+$E18*L89</f>
        <v/>
      </c>
      <c r="M19" s="787">
        <f>+$E18*M89</f>
        <v/>
      </c>
      <c r="N19" s="787">
        <f>+$E18*N89</f>
        <v/>
      </c>
      <c r="O19" s="787">
        <f>+$E18*O89</f>
        <v/>
      </c>
      <c r="P19" s="787">
        <f>+$E18*P89</f>
        <v/>
      </c>
      <c r="Q19" s="787">
        <f>+$E18*Q89</f>
        <v/>
      </c>
      <c r="R19" s="787">
        <f>+$E18*R89</f>
        <v/>
      </c>
      <c r="S19" s="787">
        <f>+$E18*S89</f>
        <v/>
      </c>
      <c r="T19" s="787">
        <f>SUM(H18:S18)</f>
        <v/>
      </c>
      <c r="U19" s="681" t="n"/>
      <c r="V19" s="787">
        <f>+$E18*V89</f>
        <v/>
      </c>
      <c r="W19" s="787">
        <f>+$E18*W89</f>
        <v/>
      </c>
      <c r="X19" s="787">
        <f>+$E18*X89</f>
        <v/>
      </c>
      <c r="Y19" s="787">
        <f>+$E18*Y89</f>
        <v/>
      </c>
      <c r="Z19" s="787">
        <f>+$E18*Z89</f>
        <v/>
      </c>
      <c r="AA19" s="787">
        <f>+$E18*AA89</f>
        <v/>
      </c>
      <c r="AB19" s="787">
        <f>+$E18*AB89</f>
        <v/>
      </c>
      <c r="AC19" s="787">
        <f>+$E18*AC89</f>
        <v/>
      </c>
      <c r="AD19" s="787">
        <f>+$E18*AD89</f>
        <v/>
      </c>
      <c r="AE19" s="787">
        <f>+$E18*AE89</f>
        <v/>
      </c>
      <c r="AF19" s="787">
        <f>+$E18*AF89</f>
        <v/>
      </c>
      <c r="AG19" s="787">
        <f>+$E18*AG89</f>
        <v/>
      </c>
      <c r="AH19" s="787">
        <f>SUM(V18:AG18)</f>
        <v/>
      </c>
      <c r="AI19" s="681" t="n"/>
      <c r="AJ19" s="787">
        <f>+AH18+T18</f>
        <v/>
      </c>
      <c r="AK19" s="681" t="n"/>
      <c r="AL19" s="681" t="n"/>
      <c r="AM19" s="681" t="n"/>
      <c r="AN19" s="681" t="n"/>
      <c r="AO19" s="681" t="n"/>
    </row>
    <row r="20" ht="14" customHeight="1" s="549">
      <c r="A20" s="686" t="n"/>
      <c r="B20" s="686" t="inlineStr">
        <is>
          <t xml:space="preserve">Factura o Boleta </t>
        </is>
      </c>
      <c r="C20" s="788" t="inlineStr">
        <is>
          <t>2.3</t>
        </is>
      </c>
      <c r="D20" s="789" t="inlineStr">
        <is>
          <t>Herramientas</t>
        </is>
      </c>
      <c r="E20" s="790">
        <f>+Supuestos!G22</f>
        <v/>
      </c>
      <c r="F20" s="789">
        <f>+F90</f>
        <v/>
      </c>
      <c r="G20" s="686" t="n"/>
      <c r="H20" s="782">
        <f>+$E19*H90</f>
        <v/>
      </c>
      <c r="I20" s="782">
        <f>+$E19*I90</f>
        <v/>
      </c>
      <c r="J20" s="782">
        <f>+$E19*J90</f>
        <v/>
      </c>
      <c r="K20" s="782">
        <f>+$E19*K90</f>
        <v/>
      </c>
      <c r="L20" s="782">
        <f>+$E19*L90</f>
        <v/>
      </c>
      <c r="M20" s="782">
        <f>+$E19*M90</f>
        <v/>
      </c>
      <c r="N20" s="782">
        <f>+$E19*N90</f>
        <v/>
      </c>
      <c r="O20" s="782">
        <f>+$E19*O90</f>
        <v/>
      </c>
      <c r="P20" s="782">
        <f>+$E19*P90</f>
        <v/>
      </c>
      <c r="Q20" s="782">
        <f>+$E19*Q90</f>
        <v/>
      </c>
      <c r="R20" s="782">
        <f>+$E19*R90</f>
        <v/>
      </c>
      <c r="S20" s="782">
        <f>+$E19*S90</f>
        <v/>
      </c>
      <c r="T20" s="782">
        <f>SUM(H19:S19)</f>
        <v/>
      </c>
      <c r="U20" s="686" t="n"/>
      <c r="V20" s="782">
        <f>+$E19*V90</f>
        <v/>
      </c>
      <c r="W20" s="782">
        <f>+$E19*W90</f>
        <v/>
      </c>
      <c r="X20" s="782">
        <f>+$E19*X90</f>
        <v/>
      </c>
      <c r="Y20" s="782">
        <f>+$E19*Y90</f>
        <v/>
      </c>
      <c r="Z20" s="782">
        <f>+$E19*Z90</f>
        <v/>
      </c>
      <c r="AA20" s="782">
        <f>+$E19*AA90</f>
        <v/>
      </c>
      <c r="AB20" s="782">
        <f>+$E19*AB90</f>
        <v/>
      </c>
      <c r="AC20" s="782">
        <f>+$E19*AC90</f>
        <v/>
      </c>
      <c r="AD20" s="782">
        <f>+$E19*AD90</f>
        <v/>
      </c>
      <c r="AE20" s="782">
        <f>+$E19*AE90</f>
        <v/>
      </c>
      <c r="AF20" s="782">
        <f>+$E19*AF90</f>
        <v/>
      </c>
      <c r="AG20" s="782">
        <f>+$E19*AG90</f>
        <v/>
      </c>
      <c r="AH20" s="782">
        <f>SUM(V19:AG19)</f>
        <v/>
      </c>
      <c r="AI20" s="686" t="n"/>
      <c r="AJ20" s="782">
        <f>+AH19+T19</f>
        <v/>
      </c>
      <c r="AK20" s="686" t="n"/>
      <c r="AL20" s="686" t="n"/>
      <c r="AM20" s="686" t="n"/>
      <c r="AN20" s="686" t="n"/>
      <c r="AO20" s="686" t="n"/>
    </row>
    <row r="21" outlineLevel="1" ht="14" customHeight="1" s="549">
      <c r="A21" s="681" t="n"/>
      <c r="B21" s="681" t="n"/>
      <c r="C21" s="712" t="inlineStr">
        <is>
          <t>3.</t>
        </is>
      </c>
      <c r="D21" s="688" t="inlineStr">
        <is>
          <t>Personal y Servicios</t>
        </is>
      </c>
      <c r="E21" s="792">
        <f>+Supuestos!E23</f>
        <v/>
      </c>
      <c r="F21" s="688">
        <f>+F91</f>
        <v/>
      </c>
      <c r="G21" s="681" t="n"/>
      <c r="H21" s="793">
        <f>+H21+H22</f>
        <v/>
      </c>
      <c r="I21" s="793">
        <f>+I21+I22</f>
        <v/>
      </c>
      <c r="J21" s="793">
        <f>+J21+J22</f>
        <v/>
      </c>
      <c r="K21" s="793">
        <f>+K21+K22</f>
        <v/>
      </c>
      <c r="L21" s="793">
        <f>+L21+L22</f>
        <v/>
      </c>
      <c r="M21" s="793">
        <f>+M21+M22</f>
        <v/>
      </c>
      <c r="N21" s="793">
        <f>+N21+N22</f>
        <v/>
      </c>
      <c r="O21" s="793">
        <f>+O21+O22</f>
        <v/>
      </c>
      <c r="P21" s="793">
        <f>+P21+P22</f>
        <v/>
      </c>
      <c r="Q21" s="793">
        <f>+Q21+Q22</f>
        <v/>
      </c>
      <c r="R21" s="793">
        <f>+R21+R22</f>
        <v/>
      </c>
      <c r="S21" s="793">
        <f>+S21+S22</f>
        <v/>
      </c>
      <c r="T21" s="787">
        <f>SUM(H20:S20)</f>
        <v/>
      </c>
      <c r="U21" s="681" t="n"/>
      <c r="V21" s="793">
        <f>+V21+V22</f>
        <v/>
      </c>
      <c r="W21" s="793">
        <f>+W21+W22</f>
        <v/>
      </c>
      <c r="X21" s="793">
        <f>+X21+X22</f>
        <v/>
      </c>
      <c r="Y21" s="793">
        <f>+Y21+Y22</f>
        <v/>
      </c>
      <c r="Z21" s="793">
        <f>+Z21+Z22</f>
        <v/>
      </c>
      <c r="AA21" s="793">
        <f>+AA21+AA22</f>
        <v/>
      </c>
      <c r="AB21" s="793">
        <f>+AB21+AB22</f>
        <v/>
      </c>
      <c r="AC21" s="793">
        <f>+AC21+AC22</f>
        <v/>
      </c>
      <c r="AD21" s="793">
        <f>+AD21+AD22</f>
        <v/>
      </c>
      <c r="AE21" s="793">
        <f>+AE21+AE22</f>
        <v/>
      </c>
      <c r="AF21" s="793">
        <f>+AF21+AF22</f>
        <v/>
      </c>
      <c r="AG21" s="793">
        <f>+AG21+AG22</f>
        <v/>
      </c>
      <c r="AH21" s="787">
        <f>SUM(V20:AG20)</f>
        <v/>
      </c>
      <c r="AI21" s="681" t="n"/>
      <c r="AJ21" s="787">
        <f>+AH20+T20</f>
        <v/>
      </c>
      <c r="AK21" s="681" t="n"/>
      <c r="AL21" s="681" t="n"/>
      <c r="AM21" s="681" t="n"/>
      <c r="AN21" s="681" t="n"/>
      <c r="AO21" s="681" t="n"/>
    </row>
    <row r="22" outlineLevel="1" ht="14" customHeight="1" s="549">
      <c r="A22" s="686" t="n"/>
      <c r="B22" s="686" t="inlineStr">
        <is>
          <t>Costo Empresa</t>
        </is>
      </c>
      <c r="C22" s="788" t="inlineStr">
        <is>
          <t>3.1</t>
        </is>
      </c>
      <c r="D22" s="789" t="inlineStr">
        <is>
          <t>Planilla Actual</t>
        </is>
      </c>
      <c r="E22" s="790">
        <f>+Supuestos!E24</f>
        <v/>
      </c>
      <c r="F22" s="789">
        <f>+F92</f>
        <v/>
      </c>
      <c r="G22" s="686" t="n"/>
      <c r="H22" s="782">
        <f>+$E21*H92</f>
        <v/>
      </c>
      <c r="I22" s="782">
        <f>+$E21*I92</f>
        <v/>
      </c>
      <c r="J22" s="782">
        <f>+$E21*J92</f>
        <v/>
      </c>
      <c r="K22" s="782">
        <f>+$E21*K92</f>
        <v/>
      </c>
      <c r="L22" s="782">
        <f>+$E21*L92</f>
        <v/>
      </c>
      <c r="M22" s="782">
        <f>+$E21*M92</f>
        <v/>
      </c>
      <c r="N22" s="782">
        <f>+$E21*N92</f>
        <v/>
      </c>
      <c r="O22" s="782">
        <f>+$E21*O92</f>
        <v/>
      </c>
      <c r="P22" s="782">
        <f>+$E21*P92</f>
        <v/>
      </c>
      <c r="Q22" s="782">
        <f>+$E21*Q92</f>
        <v/>
      </c>
      <c r="R22" s="782">
        <f>+$E21*R92</f>
        <v/>
      </c>
      <c r="S22" s="782">
        <f>+$E21*S92</f>
        <v/>
      </c>
      <c r="T22" s="782">
        <f>SUM(H21:S21)</f>
        <v/>
      </c>
      <c r="U22" s="686" t="n"/>
      <c r="V22" s="782">
        <f>+$E21*V92</f>
        <v/>
      </c>
      <c r="W22" s="782">
        <f>+$E21*W92</f>
        <v/>
      </c>
      <c r="X22" s="782">
        <f>+$E21*X92</f>
        <v/>
      </c>
      <c r="Y22" s="782">
        <f>+$E21*Y92</f>
        <v/>
      </c>
      <c r="Z22" s="782">
        <f>+$E21*Z92</f>
        <v/>
      </c>
      <c r="AA22" s="782">
        <f>+$E21*AA92</f>
        <v/>
      </c>
      <c r="AB22" s="782">
        <f>+$E21*AB92</f>
        <v/>
      </c>
      <c r="AC22" s="782">
        <f>+$E21*AC92</f>
        <v/>
      </c>
      <c r="AD22" s="782">
        <f>+$E21*AD92</f>
        <v/>
      </c>
      <c r="AE22" s="782">
        <f>+$E21*AE92</f>
        <v/>
      </c>
      <c r="AF22" s="782">
        <f>+$E21*AF92</f>
        <v/>
      </c>
      <c r="AG22" s="782">
        <f>+$E21*AG92</f>
        <v/>
      </c>
      <c r="AH22" s="782">
        <f>SUM(V21:AG21)</f>
        <v/>
      </c>
      <c r="AI22" s="686" t="n"/>
      <c r="AJ22" s="782">
        <f>+AH21+T21</f>
        <v/>
      </c>
      <c r="AK22" s="686" t="n"/>
      <c r="AL22" s="686" t="n"/>
      <c r="AM22" s="686" t="n"/>
      <c r="AN22" s="686" t="n"/>
      <c r="AO22" s="686" t="n"/>
    </row>
    <row r="23" ht="14" customHeight="1" s="549">
      <c r="A23" s="681" t="n"/>
      <c r="B23" s="681" t="n"/>
      <c r="C23" s="783" t="inlineStr">
        <is>
          <t>3.2</t>
        </is>
      </c>
      <c r="D23" s="784" t="inlineStr">
        <is>
          <t>Descarga estructura</t>
        </is>
      </c>
      <c r="E23" s="785">
        <f>+Supuestos!E25</f>
        <v/>
      </c>
      <c r="F23" s="784" t="n"/>
      <c r="G23" s="681" t="n"/>
      <c r="H23" s="787">
        <f>+$E22*H93</f>
        <v/>
      </c>
      <c r="I23" s="787">
        <f>+$E22*I93</f>
        <v/>
      </c>
      <c r="J23" s="787">
        <f>+$E22*J93</f>
        <v/>
      </c>
      <c r="K23" s="787">
        <f>+$E22*K93</f>
        <v/>
      </c>
      <c r="L23" s="787">
        <f>+$E22*L93</f>
        <v/>
      </c>
      <c r="M23" s="787">
        <f>+$E22*M93</f>
        <v/>
      </c>
      <c r="N23" s="787">
        <f>+$E22*N93</f>
        <v/>
      </c>
      <c r="O23" s="787">
        <f>+$E22*O93</f>
        <v/>
      </c>
      <c r="P23" s="787">
        <f>+$E22*P93</f>
        <v/>
      </c>
      <c r="Q23" s="787">
        <f>+$E22*Q93</f>
        <v/>
      </c>
      <c r="R23" s="787">
        <f>+$E22*R93</f>
        <v/>
      </c>
      <c r="S23" s="787">
        <f>+$E22*S93</f>
        <v/>
      </c>
      <c r="T23" s="787">
        <f>SUM(H22:S22)</f>
        <v/>
      </c>
      <c r="U23" s="681" t="n"/>
      <c r="V23" s="787">
        <f>+$E22*V93</f>
        <v/>
      </c>
      <c r="W23" s="787">
        <f>+$E22*W93</f>
        <v/>
      </c>
      <c r="X23" s="787">
        <f>+$E22*X93</f>
        <v/>
      </c>
      <c r="Y23" s="787">
        <f>+$E22*Y93</f>
        <v/>
      </c>
      <c r="Z23" s="787">
        <f>+$E22*Z93</f>
        <v/>
      </c>
      <c r="AA23" s="787">
        <f>+$E22*AA93</f>
        <v/>
      </c>
      <c r="AB23" s="787">
        <f>+$E22*AB93</f>
        <v/>
      </c>
      <c r="AC23" s="787">
        <f>+$E22*AC93</f>
        <v/>
      </c>
      <c r="AD23" s="787">
        <f>+$E22*AD93</f>
        <v/>
      </c>
      <c r="AE23" s="787">
        <f>+$E22*AE93</f>
        <v/>
      </c>
      <c r="AF23" s="787">
        <f>+$E22*AF93</f>
        <v/>
      </c>
      <c r="AG23" s="787">
        <f>+$E22*AG93</f>
        <v/>
      </c>
      <c r="AH23" s="787">
        <f>SUM(V22:AG22)</f>
        <v/>
      </c>
      <c r="AI23" s="681" t="n"/>
      <c r="AJ23" s="787">
        <f>+AH22+T22</f>
        <v/>
      </c>
      <c r="AK23" s="681" t="n"/>
      <c r="AL23" s="681" t="n"/>
      <c r="AM23" s="681" t="n"/>
      <c r="AN23" s="681" t="n"/>
      <c r="AO23" s="681" t="n"/>
    </row>
    <row r="24" outlineLevel="1" ht="14" customHeight="1" s="549">
      <c r="A24" s="686" t="n"/>
      <c r="B24" s="686" t="n"/>
      <c r="C24" s="771" t="inlineStr">
        <is>
          <t>4.</t>
        </is>
      </c>
      <c r="D24" s="682" t="inlineStr">
        <is>
          <t>Servicios Profesionales</t>
        </is>
      </c>
      <c r="E24" s="780">
        <f>+Supuestos!E26</f>
        <v/>
      </c>
      <c r="F24" s="682">
        <f>+F94</f>
        <v/>
      </c>
      <c r="G24" s="686" t="n"/>
      <c r="H24" s="781">
        <f>+SUM(H24:H31)</f>
        <v/>
      </c>
      <c r="I24" s="781">
        <f>+SUM(I24:I31)</f>
        <v/>
      </c>
      <c r="J24" s="781">
        <f>+SUM(J24:J31)</f>
        <v/>
      </c>
      <c r="K24" s="781">
        <f>+SUM(K24:K31)</f>
        <v/>
      </c>
      <c r="L24" s="781">
        <f>+SUM(L24:L31)</f>
        <v/>
      </c>
      <c r="M24" s="781">
        <f>+SUM(M24:M31)</f>
        <v/>
      </c>
      <c r="N24" s="781">
        <f>+SUM(N24:N31)</f>
        <v/>
      </c>
      <c r="O24" s="781">
        <f>+SUM(O24:O31)</f>
        <v/>
      </c>
      <c r="P24" s="781">
        <f>+SUM(P24:P31)</f>
        <v/>
      </c>
      <c r="Q24" s="781">
        <f>+SUM(Q24:Q31)</f>
        <v/>
      </c>
      <c r="R24" s="781">
        <f>+SUM(R24:R31)</f>
        <v/>
      </c>
      <c r="S24" s="781">
        <f>+SUM(S24:S31)</f>
        <v/>
      </c>
      <c r="T24" s="782">
        <f>SUM(H23:S23)</f>
        <v/>
      </c>
      <c r="U24" s="686" t="n"/>
      <c r="V24" s="781">
        <f>+SUM(V24:V31)</f>
        <v/>
      </c>
      <c r="W24" s="781">
        <f>+SUM(W24:W31)</f>
        <v/>
      </c>
      <c r="X24" s="781">
        <f>+SUM(X24:X31)</f>
        <v/>
      </c>
      <c r="Y24" s="781">
        <f>+SUM(Y24:Y31)</f>
        <v/>
      </c>
      <c r="Z24" s="781">
        <f>+SUM(Z24:Z31)</f>
        <v/>
      </c>
      <c r="AA24" s="781">
        <f>+SUM(AA24:AA31)</f>
        <v/>
      </c>
      <c r="AB24" s="781">
        <f>+SUM(AB24:AB31)</f>
        <v/>
      </c>
      <c r="AC24" s="781">
        <f>+SUM(AC24:AC31)</f>
        <v/>
      </c>
      <c r="AD24" s="781">
        <f>+SUM(AD24:AD31)</f>
        <v/>
      </c>
      <c r="AE24" s="781">
        <f>+SUM(AE24:AE31)</f>
        <v/>
      </c>
      <c r="AF24" s="781">
        <f>+SUM(AF24:AF31)</f>
        <v/>
      </c>
      <c r="AG24" s="781">
        <f>+SUM(AG24:AG31)</f>
        <v/>
      </c>
      <c r="AH24" s="782">
        <f>SUM(V23:AG23)</f>
        <v/>
      </c>
      <c r="AI24" s="686" t="n"/>
      <c r="AJ24" s="782">
        <f>+AH23+T23</f>
        <v/>
      </c>
      <c r="AK24" s="686" t="n"/>
      <c r="AL24" s="686" t="n"/>
      <c r="AM24" s="686" t="n"/>
      <c r="AN24" s="686" t="n"/>
      <c r="AO24" s="686" t="n"/>
    </row>
    <row r="25" outlineLevel="1" ht="14" customHeight="1" s="549">
      <c r="A25" s="681" t="n"/>
      <c r="B25" s="681" t="inlineStr">
        <is>
          <t>Boleta Honorarios</t>
        </is>
      </c>
      <c r="C25" s="783" t="inlineStr">
        <is>
          <t>4.1</t>
        </is>
      </c>
      <c r="D25" s="784" t="inlineStr">
        <is>
          <t>Encargado de Logistica y Bodega</t>
        </is>
      </c>
      <c r="E25" s="785">
        <f>+Supuestos!E27</f>
        <v/>
      </c>
      <c r="F25" s="784">
        <f>+F95</f>
        <v/>
      </c>
      <c r="G25" s="681" t="n"/>
      <c r="H25" s="787">
        <f>+$E24*H95</f>
        <v/>
      </c>
      <c r="I25" s="787">
        <f>+$E24*I95</f>
        <v/>
      </c>
      <c r="J25" s="787">
        <f>+$E24*J95</f>
        <v/>
      </c>
      <c r="K25" s="787">
        <f>+$E24*K95</f>
        <v/>
      </c>
      <c r="L25" s="787">
        <f>+$E24*L95</f>
        <v/>
      </c>
      <c r="M25" s="787">
        <f>+$E24*M95</f>
        <v/>
      </c>
      <c r="N25" s="787">
        <f>+$E24*N95</f>
        <v/>
      </c>
      <c r="O25" s="787">
        <f>+$E24*O95</f>
        <v/>
      </c>
      <c r="P25" s="787">
        <f>+$E24*P95</f>
        <v/>
      </c>
      <c r="Q25" s="787">
        <f>+$E24*Q95</f>
        <v/>
      </c>
      <c r="R25" s="787">
        <f>+$E24*R95</f>
        <v/>
      </c>
      <c r="S25" s="787">
        <f>+$E24*S95</f>
        <v/>
      </c>
      <c r="T25" s="787">
        <f>SUM(H24:S24)</f>
        <v/>
      </c>
      <c r="U25" s="681" t="n"/>
      <c r="V25" s="787">
        <f>+$E24*V95</f>
        <v/>
      </c>
      <c r="W25" s="787">
        <f>+$E24*W95</f>
        <v/>
      </c>
      <c r="X25" s="787">
        <f>+$E24*X95</f>
        <v/>
      </c>
      <c r="Y25" s="787">
        <f>+$E24*Y95</f>
        <v/>
      </c>
      <c r="Z25" s="787">
        <f>+$E24*Z95</f>
        <v/>
      </c>
      <c r="AA25" s="787">
        <f>+$E24*AA95</f>
        <v/>
      </c>
      <c r="AB25" s="787">
        <f>+$E24*AB95</f>
        <v/>
      </c>
      <c r="AC25" s="787">
        <f>+$E24*AC95</f>
        <v/>
      </c>
      <c r="AD25" s="787">
        <f>+$E24*AD95</f>
        <v/>
      </c>
      <c r="AE25" s="787">
        <f>+$E24*AE95</f>
        <v/>
      </c>
      <c r="AF25" s="787">
        <f>+$E24*AF95</f>
        <v/>
      </c>
      <c r="AG25" s="787">
        <f>+$E24*AG95</f>
        <v/>
      </c>
      <c r="AH25" s="787">
        <f>SUM(V24:AG24)</f>
        <v/>
      </c>
      <c r="AI25" s="681" t="n"/>
      <c r="AJ25" s="787">
        <f>+AH24+T24</f>
        <v/>
      </c>
      <c r="AK25" s="681" t="n"/>
      <c r="AL25" s="681" t="n"/>
      <c r="AM25" s="681" t="n"/>
      <c r="AN25" s="681" t="n"/>
      <c r="AO25" s="681" t="n"/>
    </row>
    <row r="26" outlineLevel="1" ht="14" customHeight="1" s="549">
      <c r="A26" s="686" t="n"/>
      <c r="B26" s="686" t="inlineStr">
        <is>
          <t>Boleta Honorarios</t>
        </is>
      </c>
      <c r="C26" s="788" t="inlineStr">
        <is>
          <t>4.2</t>
        </is>
      </c>
      <c r="D26" s="789" t="inlineStr">
        <is>
          <t>Técnico pago por instalación - Plan A</t>
        </is>
      </c>
      <c r="E26" s="790">
        <f>+Supuestos!E28</f>
        <v/>
      </c>
      <c r="F26" s="789">
        <f>+F96</f>
        <v/>
      </c>
      <c r="G26" s="686" t="n"/>
      <c r="H26" s="782">
        <f>+$E25*H96</f>
        <v/>
      </c>
      <c r="I26" s="782">
        <f>+$E25*I96</f>
        <v/>
      </c>
      <c r="J26" s="782">
        <f>+$E25*J96</f>
        <v/>
      </c>
      <c r="K26" s="782">
        <f>+$E25*K96</f>
        <v/>
      </c>
      <c r="L26" s="782">
        <f>+$E25*L96</f>
        <v/>
      </c>
      <c r="M26" s="782">
        <f>+$E25*M96</f>
        <v/>
      </c>
      <c r="N26" s="782">
        <f>+$E25*N96</f>
        <v/>
      </c>
      <c r="O26" s="782">
        <f>+$E25*O96</f>
        <v/>
      </c>
      <c r="P26" s="782">
        <f>+$E25*P96</f>
        <v/>
      </c>
      <c r="Q26" s="782">
        <f>+$E25*Q96</f>
        <v/>
      </c>
      <c r="R26" s="782">
        <f>+$E25*R96</f>
        <v/>
      </c>
      <c r="S26" s="782">
        <f>+$E25*S96</f>
        <v/>
      </c>
      <c r="T26" s="782">
        <f>SUM(H25:S25)</f>
        <v/>
      </c>
      <c r="U26" s="686" t="n"/>
      <c r="V26" s="782">
        <f>+$E25*V96</f>
        <v/>
      </c>
      <c r="W26" s="782">
        <f>+$E25*W96</f>
        <v/>
      </c>
      <c r="X26" s="782">
        <f>+$E25*X96</f>
        <v/>
      </c>
      <c r="Y26" s="782">
        <f>+$E25*Y96</f>
        <v/>
      </c>
      <c r="Z26" s="782">
        <f>+$E25*Z96</f>
        <v/>
      </c>
      <c r="AA26" s="782">
        <f>+$E25*AA96</f>
        <v/>
      </c>
      <c r="AB26" s="782">
        <f>+$E25*AB96</f>
        <v/>
      </c>
      <c r="AC26" s="782">
        <f>+$E25*AC96</f>
        <v/>
      </c>
      <c r="AD26" s="782">
        <f>+$E25*AD96</f>
        <v/>
      </c>
      <c r="AE26" s="782">
        <f>+$E25*AE96</f>
        <v/>
      </c>
      <c r="AF26" s="782">
        <f>+$E25*AF96</f>
        <v/>
      </c>
      <c r="AG26" s="782">
        <f>+$E25*AG96</f>
        <v/>
      </c>
      <c r="AH26" s="782">
        <f>SUM(V25:AG25)</f>
        <v/>
      </c>
      <c r="AI26" s="686" t="n"/>
      <c r="AJ26" s="782">
        <f>+AH25+T25</f>
        <v/>
      </c>
      <c r="AK26" s="686" t="n"/>
      <c r="AL26" s="686" t="n"/>
      <c r="AM26" s="686" t="n"/>
      <c r="AN26" s="686" t="n"/>
      <c r="AO26" s="686" t="n"/>
    </row>
    <row r="27" outlineLevel="1" ht="14" customHeight="1" s="549">
      <c r="A27" s="681" t="n"/>
      <c r="B27" s="681" t="inlineStr">
        <is>
          <t>Boleta Honorarios</t>
        </is>
      </c>
      <c r="C27" s="783" t="inlineStr">
        <is>
          <t>4.3</t>
        </is>
      </c>
      <c r="D27" s="784" t="inlineStr">
        <is>
          <t>Técnico contrato mensual - Plan B</t>
        </is>
      </c>
      <c r="E27" s="785">
        <f>+Supuestos!E29</f>
        <v/>
      </c>
      <c r="F27" s="784">
        <f>+F97</f>
        <v/>
      </c>
      <c r="G27" s="681" t="n"/>
      <c r="H27" s="787">
        <f>+$E26*H97</f>
        <v/>
      </c>
      <c r="I27" s="787">
        <f>+$E26*I97</f>
        <v/>
      </c>
      <c r="J27" s="787">
        <f>+$E26*J97</f>
        <v/>
      </c>
      <c r="K27" s="787">
        <f>+$E26*K97</f>
        <v/>
      </c>
      <c r="L27" s="787">
        <f>+$E26*L97</f>
        <v/>
      </c>
      <c r="M27" s="787">
        <f>+$E26*M97</f>
        <v/>
      </c>
      <c r="N27" s="787">
        <f>+$E26*N97</f>
        <v/>
      </c>
      <c r="O27" s="787">
        <f>+$E26*O97</f>
        <v/>
      </c>
      <c r="P27" s="787">
        <f>+$E26*P97</f>
        <v/>
      </c>
      <c r="Q27" s="787">
        <f>+$E26*Q97</f>
        <v/>
      </c>
      <c r="R27" s="787">
        <f>+$E26*R97</f>
        <v/>
      </c>
      <c r="S27" s="787">
        <f>+$E26*S97</f>
        <v/>
      </c>
      <c r="T27" s="787">
        <f>SUM(H26:S26)</f>
        <v/>
      </c>
      <c r="U27" s="681" t="n"/>
      <c r="V27" s="787">
        <f>+$E26*V97</f>
        <v/>
      </c>
      <c r="W27" s="787">
        <f>+$E26*W97</f>
        <v/>
      </c>
      <c r="X27" s="787">
        <f>+$E26*X97</f>
        <v/>
      </c>
      <c r="Y27" s="787">
        <f>+$E26*Y97</f>
        <v/>
      </c>
      <c r="Z27" s="787">
        <f>+$E26*Z97</f>
        <v/>
      </c>
      <c r="AA27" s="787">
        <f>+$E26*AA97</f>
        <v/>
      </c>
      <c r="AB27" s="787">
        <f>+$E26*AB97</f>
        <v/>
      </c>
      <c r="AC27" s="787">
        <f>+$E26*AC97</f>
        <v/>
      </c>
      <c r="AD27" s="787">
        <f>+$E26*AD97</f>
        <v/>
      </c>
      <c r="AE27" s="787">
        <f>+$E26*AE97</f>
        <v/>
      </c>
      <c r="AF27" s="787">
        <f>+$E26*AF97</f>
        <v/>
      </c>
      <c r="AG27" s="787">
        <f>+$E26*AG97</f>
        <v/>
      </c>
      <c r="AH27" s="787">
        <f>SUM(V26:AG26)</f>
        <v/>
      </c>
      <c r="AI27" s="681" t="n"/>
      <c r="AJ27" s="787">
        <f>+AH26+T26</f>
        <v/>
      </c>
      <c r="AK27" s="681" t="n"/>
      <c r="AL27" s="681" t="n"/>
      <c r="AM27" s="681" t="n"/>
      <c r="AN27" s="681" t="n"/>
      <c r="AO27" s="681" t="n"/>
    </row>
    <row r="28" outlineLevel="1" ht="14" customHeight="1" s="549">
      <c r="A28" s="686" t="n"/>
      <c r="B28" s="686" t="inlineStr">
        <is>
          <t>Boleta Honorarios</t>
        </is>
      </c>
      <c r="C28" s="788" t="inlineStr">
        <is>
          <t>4.4</t>
        </is>
      </c>
      <c r="D28" s="789" t="inlineStr">
        <is>
          <t>Ayudante contrato mensual - Plan B</t>
        </is>
      </c>
      <c r="E28" s="790">
        <f>+Supuestos!E30</f>
        <v/>
      </c>
      <c r="F28" s="789">
        <f>+F98</f>
        <v/>
      </c>
      <c r="G28" s="686" t="n"/>
      <c r="H28" s="782">
        <f>+$E27*H98</f>
        <v/>
      </c>
      <c r="I28" s="782">
        <f>+$E27*I98</f>
        <v/>
      </c>
      <c r="J28" s="782">
        <f>+$E27*J98</f>
        <v/>
      </c>
      <c r="K28" s="782">
        <f>+$E27*K98</f>
        <v/>
      </c>
      <c r="L28" s="782">
        <f>+$E27*L98</f>
        <v/>
      </c>
      <c r="M28" s="782">
        <f>+$E27*M98</f>
        <v/>
      </c>
      <c r="N28" s="782">
        <f>+$E27*N98</f>
        <v/>
      </c>
      <c r="O28" s="782">
        <f>+$E27*O98</f>
        <v/>
      </c>
      <c r="P28" s="782">
        <f>+$E27*P98</f>
        <v/>
      </c>
      <c r="Q28" s="782">
        <f>+$E27*Q98</f>
        <v/>
      </c>
      <c r="R28" s="782">
        <f>+$E27*R98</f>
        <v/>
      </c>
      <c r="S28" s="782">
        <f>+$E27*S98</f>
        <v/>
      </c>
      <c r="T28" s="782">
        <f>SUM(H27:S27)</f>
        <v/>
      </c>
      <c r="U28" s="686" t="n"/>
      <c r="V28" s="782">
        <f>+$E27*V98</f>
        <v/>
      </c>
      <c r="W28" s="782">
        <f>+$E27*W98</f>
        <v/>
      </c>
      <c r="X28" s="782">
        <f>+$E27*X98</f>
        <v/>
      </c>
      <c r="Y28" s="782">
        <f>+$E27*Y98</f>
        <v/>
      </c>
      <c r="Z28" s="782">
        <f>+$E27*Z98</f>
        <v/>
      </c>
      <c r="AA28" s="782">
        <f>+$E27*AA98</f>
        <v/>
      </c>
      <c r="AB28" s="782">
        <f>+$E27*AB98</f>
        <v/>
      </c>
      <c r="AC28" s="782">
        <f>+$E27*AC98</f>
        <v/>
      </c>
      <c r="AD28" s="782">
        <f>+$E27*AD98</f>
        <v/>
      </c>
      <c r="AE28" s="782">
        <f>+$E27*AE98</f>
        <v/>
      </c>
      <c r="AF28" s="782">
        <f>+$E27*AF98</f>
        <v/>
      </c>
      <c r="AG28" s="782">
        <f>+$E27*AG98</f>
        <v/>
      </c>
      <c r="AH28" s="782">
        <f>SUM(V27:AG27)</f>
        <v/>
      </c>
      <c r="AI28" s="686" t="n"/>
      <c r="AJ28" s="782">
        <f>+AH27+T27</f>
        <v/>
      </c>
      <c r="AK28" s="686" t="n"/>
      <c r="AL28" s="686" t="n"/>
      <c r="AM28" s="686" t="n"/>
      <c r="AN28" s="686" t="n"/>
      <c r="AO28" s="686" t="n"/>
    </row>
    <row r="29" outlineLevel="1" ht="14" customHeight="1" s="549">
      <c r="A29" s="681" t="n"/>
      <c r="B29" s="681" t="inlineStr">
        <is>
          <t>Boleta Honorarios</t>
        </is>
      </c>
      <c r="C29" s="783" t="inlineStr">
        <is>
          <t>4.5</t>
        </is>
      </c>
      <c r="D29" s="784" t="inlineStr">
        <is>
          <t>Personal apoyo Planos TE1</t>
        </is>
      </c>
      <c r="E29" s="785">
        <f>+Supuestos!E31</f>
        <v/>
      </c>
      <c r="F29" s="784">
        <f>+F99</f>
        <v/>
      </c>
      <c r="G29" s="681" t="n"/>
      <c r="H29" s="787">
        <f>+$E28*H99</f>
        <v/>
      </c>
      <c r="I29" s="787">
        <f>+$E28*I99</f>
        <v/>
      </c>
      <c r="J29" s="787">
        <f>+$E28*J99</f>
        <v/>
      </c>
      <c r="K29" s="787">
        <f>+$E28*K99</f>
        <v/>
      </c>
      <c r="L29" s="787">
        <f>+$E28*L99</f>
        <v/>
      </c>
      <c r="M29" s="787">
        <f>+$E28*M99</f>
        <v/>
      </c>
      <c r="N29" s="787">
        <f>+$E28*N99</f>
        <v/>
      </c>
      <c r="O29" s="787">
        <f>+$E28*O99</f>
        <v/>
      </c>
      <c r="P29" s="787">
        <f>+$E28*P99</f>
        <v/>
      </c>
      <c r="Q29" s="787">
        <f>+$E28*Q99</f>
        <v/>
      </c>
      <c r="R29" s="787">
        <f>+$E28*R99</f>
        <v/>
      </c>
      <c r="S29" s="787">
        <f>+$E28*S99</f>
        <v/>
      </c>
      <c r="T29" s="787">
        <f>SUM(H28:S28)</f>
        <v/>
      </c>
      <c r="U29" s="681" t="n"/>
      <c r="V29" s="787">
        <f>+$E28*V99</f>
        <v/>
      </c>
      <c r="W29" s="787">
        <f>+$E28*W99</f>
        <v/>
      </c>
      <c r="X29" s="787">
        <f>+$E28*X99</f>
        <v/>
      </c>
      <c r="Y29" s="787">
        <f>+$E28*Y99</f>
        <v/>
      </c>
      <c r="Z29" s="787">
        <f>+$E28*Z99</f>
        <v/>
      </c>
      <c r="AA29" s="787">
        <f>+$E28*AA99</f>
        <v/>
      </c>
      <c r="AB29" s="787">
        <f>+$E28*AB99</f>
        <v/>
      </c>
      <c r="AC29" s="787">
        <f>+$E28*AC99</f>
        <v/>
      </c>
      <c r="AD29" s="787">
        <f>+$E28*AD99</f>
        <v/>
      </c>
      <c r="AE29" s="787">
        <f>+$E28*AE99</f>
        <v/>
      </c>
      <c r="AF29" s="787">
        <f>+$E28*AF99</f>
        <v/>
      </c>
      <c r="AG29" s="787">
        <f>+$E28*AG99</f>
        <v/>
      </c>
      <c r="AH29" s="787">
        <f>SUM(V28:AG28)</f>
        <v/>
      </c>
      <c r="AI29" s="681" t="n"/>
      <c r="AJ29" s="787">
        <f>+AH28+T28</f>
        <v/>
      </c>
      <c r="AK29" s="681" t="n"/>
      <c r="AL29" s="681" t="n"/>
      <c r="AM29" s="681" t="n"/>
      <c r="AN29" s="681" t="n"/>
      <c r="AO29" s="681" t="n"/>
    </row>
    <row r="30" outlineLevel="1" ht="14" customHeight="1" s="549">
      <c r="A30" s="686" t="n"/>
      <c r="B30" s="686" t="inlineStr">
        <is>
          <t>Boleta Honorarios</t>
        </is>
      </c>
      <c r="C30" s="788" t="inlineStr">
        <is>
          <t>4.6</t>
        </is>
      </c>
      <c r="D30" s="789" t="inlineStr">
        <is>
          <t>Encargado territorial RRHH</t>
        </is>
      </c>
      <c r="E30" s="790">
        <f>+Supuestos!E32</f>
        <v/>
      </c>
      <c r="F30" s="789" t="n"/>
      <c r="G30" s="686" t="n"/>
      <c r="H30" s="782">
        <f>+$E29*H100</f>
        <v/>
      </c>
      <c r="I30" s="782">
        <f>+$E29*I100</f>
        <v/>
      </c>
      <c r="J30" s="782">
        <f>+$E29*J100</f>
        <v/>
      </c>
      <c r="K30" s="782">
        <f>+$E29*K100</f>
        <v/>
      </c>
      <c r="L30" s="782">
        <f>+$E29*L100</f>
        <v/>
      </c>
      <c r="M30" s="782">
        <f>+$E29*M100</f>
        <v/>
      </c>
      <c r="N30" s="782">
        <f>+$E29*N100</f>
        <v/>
      </c>
      <c r="O30" s="782">
        <f>+$E29*O100</f>
        <v/>
      </c>
      <c r="P30" s="782">
        <f>+$E29*P100</f>
        <v/>
      </c>
      <c r="Q30" s="782">
        <f>+$E29*Q100</f>
        <v/>
      </c>
      <c r="R30" s="782">
        <f>+$E29*R100</f>
        <v/>
      </c>
      <c r="S30" s="782">
        <f>+$E29*S100</f>
        <v/>
      </c>
      <c r="T30" s="782">
        <f>SUM(H29:S29)</f>
        <v/>
      </c>
      <c r="U30" s="686" t="n"/>
      <c r="V30" s="782">
        <f>+$E29*V100</f>
        <v/>
      </c>
      <c r="W30" s="782">
        <f>+$E29*W100</f>
        <v/>
      </c>
      <c r="X30" s="782">
        <f>+$E29*X100</f>
        <v/>
      </c>
      <c r="Y30" s="782">
        <f>+$E29*Y100</f>
        <v/>
      </c>
      <c r="Z30" s="782">
        <f>+$E29*Z100</f>
        <v/>
      </c>
      <c r="AA30" s="782">
        <f>+$E29*AA100</f>
        <v/>
      </c>
      <c r="AB30" s="782">
        <f>+$E29*AB100</f>
        <v/>
      </c>
      <c r="AC30" s="782">
        <f>+$E29*AC100</f>
        <v/>
      </c>
      <c r="AD30" s="782">
        <f>+$E29*AD100</f>
        <v/>
      </c>
      <c r="AE30" s="782">
        <f>+$E29*AE100</f>
        <v/>
      </c>
      <c r="AF30" s="782">
        <f>+$E29*AF100</f>
        <v/>
      </c>
      <c r="AG30" s="782">
        <f>+$E29*AG100</f>
        <v/>
      </c>
      <c r="AH30" s="782">
        <f>SUM(V29:AG29)</f>
        <v/>
      </c>
      <c r="AI30" s="686" t="n"/>
      <c r="AJ30" s="782">
        <f>+AH29+T29</f>
        <v/>
      </c>
      <c r="AK30" s="686" t="n"/>
      <c r="AL30" s="686" t="n"/>
      <c r="AM30" s="686" t="n"/>
      <c r="AN30" s="686" t="n"/>
      <c r="AO30" s="686" t="n"/>
    </row>
    <row r="31" outlineLevel="1" ht="14" customHeight="1" s="549">
      <c r="A31" s="681" t="n"/>
      <c r="B31" s="681" t="inlineStr">
        <is>
          <t>Boleta Honorarios</t>
        </is>
      </c>
      <c r="C31" s="783" t="inlineStr">
        <is>
          <t>4.7</t>
        </is>
      </c>
      <c r="D31" s="784" t="inlineStr">
        <is>
          <t>Apoyo Financiero de proyecto</t>
        </is>
      </c>
      <c r="E31" s="785">
        <f>+Supuestos!E33</f>
        <v/>
      </c>
      <c r="F31" s="784" t="n"/>
      <c r="G31" s="681" t="n"/>
      <c r="H31" s="787">
        <f>+$E30*H101</f>
        <v/>
      </c>
      <c r="I31" s="787">
        <f>+$E30*I101</f>
        <v/>
      </c>
      <c r="J31" s="787">
        <f>+$E30*J101</f>
        <v/>
      </c>
      <c r="K31" s="787">
        <f>+$E30*K101</f>
        <v/>
      </c>
      <c r="L31" s="787">
        <f>+$E30*L101</f>
        <v/>
      </c>
      <c r="M31" s="787">
        <f>+$E30*M101</f>
        <v/>
      </c>
      <c r="N31" s="787">
        <f>+$E30*N101</f>
        <v/>
      </c>
      <c r="O31" s="787">
        <f>+$E30*O101</f>
        <v/>
      </c>
      <c r="P31" s="787">
        <f>+$E30*P101</f>
        <v/>
      </c>
      <c r="Q31" s="787">
        <f>+$E30*Q101</f>
        <v/>
      </c>
      <c r="R31" s="787">
        <f>+$E30*R101</f>
        <v/>
      </c>
      <c r="S31" s="787">
        <f>+$E30*S101</f>
        <v/>
      </c>
      <c r="T31" s="787">
        <f>SUM(H30:S30)</f>
        <v/>
      </c>
      <c r="U31" s="681" t="n"/>
      <c r="V31" s="787">
        <f>+$E30*V101</f>
        <v/>
      </c>
      <c r="W31" s="787">
        <f>+$E30*W101</f>
        <v/>
      </c>
      <c r="X31" s="787">
        <f>+$E30*X101</f>
        <v/>
      </c>
      <c r="Y31" s="787">
        <f>+$E30*Y101</f>
        <v/>
      </c>
      <c r="Z31" s="787">
        <f>+$E30*Z101</f>
        <v/>
      </c>
      <c r="AA31" s="787">
        <f>+$E30*AA101</f>
        <v/>
      </c>
      <c r="AB31" s="787">
        <f>+$E30*AB101</f>
        <v/>
      </c>
      <c r="AC31" s="787">
        <f>+$E30*AC101</f>
        <v/>
      </c>
      <c r="AD31" s="787">
        <f>+$E30*AD101</f>
        <v/>
      </c>
      <c r="AE31" s="787">
        <f>+$E30*AE101</f>
        <v/>
      </c>
      <c r="AF31" s="787">
        <f>+$E30*AF101</f>
        <v/>
      </c>
      <c r="AG31" s="787">
        <f>+$E30*AG101</f>
        <v/>
      </c>
      <c r="AH31" s="787">
        <f>SUM(V30:AG30)</f>
        <v/>
      </c>
      <c r="AI31" s="681" t="n"/>
      <c r="AJ31" s="787">
        <f>+AH30+T30</f>
        <v/>
      </c>
      <c r="AK31" s="681" t="n"/>
      <c r="AL31" s="681" t="n"/>
      <c r="AM31" s="681" t="n"/>
      <c r="AN31" s="681" t="n"/>
      <c r="AO31" s="681" t="n"/>
    </row>
    <row r="32" outlineLevel="1" ht="14" customHeight="1" s="549">
      <c r="A32" s="686" t="n"/>
      <c r="B32" s="686" t="inlineStr">
        <is>
          <t>Boleta Honorarios</t>
        </is>
      </c>
      <c r="C32" s="788" t="inlineStr">
        <is>
          <t>4.8</t>
        </is>
      </c>
      <c r="D32" s="789" t="n"/>
      <c r="E32" s="790">
        <f>+Supuestos!E34</f>
        <v/>
      </c>
      <c r="F32" s="789" t="n"/>
      <c r="G32" s="686" t="n"/>
      <c r="H32" s="782" t="n"/>
      <c r="I32" s="782" t="n"/>
      <c r="J32" s="782" t="n"/>
      <c r="K32" s="782" t="n"/>
      <c r="L32" s="782" t="n"/>
      <c r="M32" s="782" t="n"/>
      <c r="N32" s="782" t="n"/>
      <c r="O32" s="782" t="n"/>
      <c r="P32" s="782" t="n"/>
      <c r="Q32" s="782" t="n"/>
      <c r="R32" s="782" t="n"/>
      <c r="S32" s="782" t="n"/>
      <c r="T32" s="782">
        <f>SUM(H31:S31)</f>
        <v/>
      </c>
      <c r="U32" s="686" t="n"/>
      <c r="V32" s="782" t="n"/>
      <c r="W32" s="782" t="n"/>
      <c r="X32" s="782" t="n"/>
      <c r="Y32" s="782" t="n"/>
      <c r="Z32" s="782" t="n"/>
      <c r="AA32" s="782" t="n"/>
      <c r="AB32" s="782" t="n"/>
      <c r="AC32" s="782" t="n"/>
      <c r="AD32" s="782" t="n"/>
      <c r="AE32" s="782" t="n"/>
      <c r="AF32" s="782" t="n"/>
      <c r="AG32" s="782" t="n"/>
      <c r="AH32" s="782">
        <f>SUM(V31:AG31)</f>
        <v/>
      </c>
      <c r="AI32" s="686" t="n"/>
      <c r="AJ32" s="782">
        <f>+AH31+T31</f>
        <v/>
      </c>
      <c r="AK32" s="686" t="n"/>
      <c r="AL32" s="686" t="n"/>
      <c r="AM32" s="686" t="n"/>
      <c r="AN32" s="686" t="n"/>
      <c r="AO32" s="686" t="n"/>
    </row>
    <row r="33" ht="14" customHeight="1" s="549">
      <c r="A33" s="681" t="n"/>
      <c r="B33" s="681" t="inlineStr">
        <is>
          <t>Boleta Honorarios</t>
        </is>
      </c>
      <c r="C33" s="783" t="n"/>
      <c r="D33" s="784" t="n"/>
      <c r="E33" s="681" t="n"/>
      <c r="F33" s="681" t="n"/>
      <c r="G33" s="681" t="n"/>
      <c r="H33" s="681" t="n"/>
      <c r="I33" s="681" t="n"/>
      <c r="J33" s="681" t="n"/>
      <c r="K33" s="681" t="n"/>
      <c r="L33" s="681" t="n"/>
      <c r="M33" s="681" t="n"/>
      <c r="N33" s="681" t="n"/>
      <c r="O33" s="681" t="n"/>
      <c r="P33" s="681" t="n"/>
      <c r="Q33" s="681" t="n"/>
      <c r="R33" s="681" t="n"/>
      <c r="S33" s="681" t="n"/>
      <c r="T33" s="787">
        <f>SUM(H32:S32)</f>
        <v/>
      </c>
      <c r="U33" s="681" t="n"/>
      <c r="V33" s="681" t="n"/>
      <c r="W33" s="681" t="n"/>
      <c r="X33" s="681" t="n"/>
      <c r="Y33" s="681" t="n"/>
      <c r="Z33" s="681" t="n"/>
      <c r="AA33" s="681" t="n"/>
      <c r="AB33" s="681" t="n"/>
      <c r="AC33" s="681" t="n"/>
      <c r="AD33" s="681" t="n"/>
      <c r="AE33" s="681" t="n"/>
      <c r="AF33" s="681" t="n"/>
      <c r="AG33" s="681" t="n"/>
      <c r="AH33" s="787">
        <f>SUM(V32:AG32)</f>
        <v/>
      </c>
      <c r="AI33" s="681" t="n"/>
      <c r="AJ33" s="787">
        <f>+AH32+T32</f>
        <v/>
      </c>
      <c r="AK33" s="681" t="n"/>
      <c r="AL33" s="681" t="n"/>
      <c r="AM33" s="681" t="n"/>
      <c r="AN33" s="681" t="n"/>
      <c r="AO33" s="681" t="n"/>
    </row>
    <row r="34" outlineLevel="1" ht="14" customHeight="1" s="549">
      <c r="A34" s="686" t="n"/>
      <c r="B34" s="686" t="n"/>
      <c r="C34" s="771" t="inlineStr">
        <is>
          <t>5.</t>
        </is>
      </c>
      <c r="D34" s="682" t="inlineStr">
        <is>
          <t>Alquileres RRCC</t>
        </is>
      </c>
      <c r="E34" s="780">
        <f>+Supuestos!E36</f>
        <v/>
      </c>
      <c r="F34" s="682">
        <f>+F104</f>
        <v/>
      </c>
      <c r="G34" s="686" t="n"/>
      <c r="H34" s="782">
        <f>+SUM(H34:H35)</f>
        <v/>
      </c>
      <c r="I34" s="782">
        <f>+SUM(I34:I35)</f>
        <v/>
      </c>
      <c r="J34" s="782">
        <f>+SUM(J34:J35)</f>
        <v/>
      </c>
      <c r="K34" s="782">
        <f>+SUM(K34:K35)</f>
        <v/>
      </c>
      <c r="L34" s="782">
        <f>+SUM(L34:L35)</f>
        <v/>
      </c>
      <c r="M34" s="782">
        <f>+SUM(M34:M35)</f>
        <v/>
      </c>
      <c r="N34" s="782">
        <f>+SUM(N34:N35)</f>
        <v/>
      </c>
      <c r="O34" s="782">
        <f>+SUM(O34:O35)</f>
        <v/>
      </c>
      <c r="P34" s="782">
        <f>+SUM(P34:P35)</f>
        <v/>
      </c>
      <c r="Q34" s="782">
        <f>+SUM(Q34:Q35)</f>
        <v/>
      </c>
      <c r="R34" s="782">
        <f>+SUM(R34:R35)</f>
        <v/>
      </c>
      <c r="S34" s="782">
        <f>+SUM(S34:S35)</f>
        <v/>
      </c>
      <c r="T34" s="782">
        <f>SUM(H33:S33)</f>
        <v/>
      </c>
      <c r="U34" s="686" t="n"/>
      <c r="V34" s="782">
        <f>+SUM(V34:V35)</f>
        <v/>
      </c>
      <c r="W34" s="782">
        <f>+SUM(W34:W35)</f>
        <v/>
      </c>
      <c r="X34" s="782">
        <f>+SUM(X34:X35)</f>
        <v/>
      </c>
      <c r="Y34" s="782">
        <f>+SUM(Y34:Y35)</f>
        <v/>
      </c>
      <c r="Z34" s="782">
        <f>+SUM(Z34:Z35)</f>
        <v/>
      </c>
      <c r="AA34" s="782">
        <f>+SUM(AA34:AA35)</f>
        <v/>
      </c>
      <c r="AB34" s="782">
        <f>+SUM(AB34:AB35)</f>
        <v/>
      </c>
      <c r="AC34" s="782">
        <f>+SUM(AC34:AC35)</f>
        <v/>
      </c>
      <c r="AD34" s="782">
        <f>+SUM(AD34:AD35)</f>
        <v/>
      </c>
      <c r="AE34" s="782">
        <f>+SUM(AE34:AE35)</f>
        <v/>
      </c>
      <c r="AF34" s="782">
        <f>+SUM(AF34:AF35)</f>
        <v/>
      </c>
      <c r="AG34" s="782">
        <f>+SUM(AG34:AG35)</f>
        <v/>
      </c>
      <c r="AH34" s="782">
        <f>SUM(V33:AG33)</f>
        <v/>
      </c>
      <c r="AI34" s="686" t="n"/>
      <c r="AJ34" s="782">
        <f>+AH33+T33</f>
        <v/>
      </c>
      <c r="AK34" s="686" t="n"/>
      <c r="AL34" s="686" t="n"/>
      <c r="AM34" s="686" t="n"/>
      <c r="AN34" s="686" t="n"/>
      <c r="AO34" s="686" t="n"/>
    </row>
    <row r="35" outlineLevel="1" ht="14" customHeight="1" s="549">
      <c r="A35" s="681" t="n"/>
      <c r="B35" s="681" t="inlineStr">
        <is>
          <t>Factura</t>
        </is>
      </c>
      <c r="C35" s="783" t="inlineStr">
        <is>
          <t>5.1</t>
        </is>
      </c>
      <c r="D35" s="784" t="inlineStr">
        <is>
          <t>Arriendo vehículo diario - RRCC</t>
        </is>
      </c>
      <c r="E35" s="785">
        <f>+Supuestos!G37</f>
        <v/>
      </c>
      <c r="F35" s="784">
        <f>+F105</f>
        <v/>
      </c>
      <c r="G35" s="681" t="n"/>
      <c r="H35" s="787">
        <f>+$E34*H105</f>
        <v/>
      </c>
      <c r="I35" s="787">
        <f>+$E34*I105</f>
        <v/>
      </c>
      <c r="J35" s="787">
        <f>+$E34*J105</f>
        <v/>
      </c>
      <c r="K35" s="787">
        <f>+$E34*K105</f>
        <v/>
      </c>
      <c r="L35" s="787">
        <f>+$E34*L105</f>
        <v/>
      </c>
      <c r="M35" s="787">
        <f>+$E34*M105</f>
        <v/>
      </c>
      <c r="N35" s="787">
        <f>+$E34*N105</f>
        <v/>
      </c>
      <c r="O35" s="787">
        <f>+$E34*O105</f>
        <v/>
      </c>
      <c r="P35" s="787">
        <f>+$E34*P105</f>
        <v/>
      </c>
      <c r="Q35" s="787">
        <f>+$E34*Q105</f>
        <v/>
      </c>
      <c r="R35" s="787">
        <f>+$E34*R105</f>
        <v/>
      </c>
      <c r="S35" s="787">
        <f>+$E34*S105</f>
        <v/>
      </c>
      <c r="T35" s="787">
        <f>SUM(H34:S34)</f>
        <v/>
      </c>
      <c r="U35" s="681" t="n"/>
      <c r="V35" s="787">
        <f>+$E34*V105</f>
        <v/>
      </c>
      <c r="W35" s="787">
        <f>+$E34*W105</f>
        <v/>
      </c>
      <c r="X35" s="787">
        <f>+$E34*X105</f>
        <v/>
      </c>
      <c r="Y35" s="787">
        <f>+$E34*Y105</f>
        <v/>
      </c>
      <c r="Z35" s="787">
        <f>+$E34*Z105</f>
        <v/>
      </c>
      <c r="AA35" s="787">
        <f>+$E34*AA105</f>
        <v/>
      </c>
      <c r="AB35" s="787">
        <f>+$E34*AB105</f>
        <v/>
      </c>
      <c r="AC35" s="787">
        <f>+$E34*AC105</f>
        <v/>
      </c>
      <c r="AD35" s="787">
        <f>+$E34*AD105</f>
        <v/>
      </c>
      <c r="AE35" s="787">
        <f>+$E34*AE105</f>
        <v/>
      </c>
      <c r="AF35" s="787">
        <f>+$E34*AF105</f>
        <v/>
      </c>
      <c r="AG35" s="787">
        <f>+$E34*AG105</f>
        <v/>
      </c>
      <c r="AH35" s="787">
        <f>SUM(V34:AG34)</f>
        <v/>
      </c>
      <c r="AI35" s="681" t="n"/>
      <c r="AJ35" s="787">
        <f>+AH34+T34</f>
        <v/>
      </c>
      <c r="AK35" s="681" t="n"/>
      <c r="AL35" s="681" t="n"/>
      <c r="AM35" s="681" t="n"/>
      <c r="AN35" s="681" t="n"/>
      <c r="AO35" s="681" t="n"/>
    </row>
    <row r="36" ht="14" customHeight="1" s="549">
      <c r="A36" s="686" t="n"/>
      <c r="B36" s="686" t="inlineStr">
        <is>
          <t>Factura</t>
        </is>
      </c>
      <c r="C36" s="788" t="inlineStr">
        <is>
          <t>5.2</t>
        </is>
      </c>
      <c r="D36" s="789" t="inlineStr">
        <is>
          <t>Vehiculo RRCC</t>
        </is>
      </c>
      <c r="E36" s="790">
        <f>+Supuestos!G38</f>
        <v/>
      </c>
      <c r="F36" s="789">
        <f>+F106</f>
        <v/>
      </c>
      <c r="G36" s="686" t="n"/>
      <c r="H36" s="782">
        <f>+$E35*H106</f>
        <v/>
      </c>
      <c r="I36" s="782">
        <f>+$E35*I106</f>
        <v/>
      </c>
      <c r="J36" s="782">
        <f>+$E35*J106</f>
        <v/>
      </c>
      <c r="K36" s="782">
        <f>+$E35*K106</f>
        <v/>
      </c>
      <c r="L36" s="782">
        <f>+$E35*L106</f>
        <v/>
      </c>
      <c r="M36" s="782">
        <f>+$E35*M106</f>
        <v/>
      </c>
      <c r="N36" s="782">
        <f>+$E35*N106</f>
        <v/>
      </c>
      <c r="O36" s="782">
        <f>+$E35*O106</f>
        <v/>
      </c>
      <c r="P36" s="782">
        <f>+$E35*P106</f>
        <v/>
      </c>
      <c r="Q36" s="782">
        <f>+$E35*Q106</f>
        <v/>
      </c>
      <c r="R36" s="782">
        <f>+$E35*R106</f>
        <v/>
      </c>
      <c r="S36" s="782">
        <f>+$E35*S106</f>
        <v/>
      </c>
      <c r="T36" s="782">
        <f>SUM(H35:S35)</f>
        <v/>
      </c>
      <c r="U36" s="686" t="n"/>
      <c r="V36" s="782">
        <f>+$E35*V106</f>
        <v/>
      </c>
      <c r="W36" s="782">
        <f>+$E35*W106</f>
        <v/>
      </c>
      <c r="X36" s="782">
        <f>+$E35*X106</f>
        <v/>
      </c>
      <c r="Y36" s="782">
        <f>+$E35*Y106</f>
        <v/>
      </c>
      <c r="Z36" s="782">
        <f>+$E35*Z106</f>
        <v/>
      </c>
      <c r="AA36" s="782">
        <f>+$E35*AA106</f>
        <v/>
      </c>
      <c r="AB36" s="782">
        <f>+$E35*AB106</f>
        <v/>
      </c>
      <c r="AC36" s="782">
        <f>+$E35*AC106</f>
        <v/>
      </c>
      <c r="AD36" s="782">
        <f>+$E35*AD106</f>
        <v/>
      </c>
      <c r="AE36" s="782">
        <f>+$E35*AE106</f>
        <v/>
      </c>
      <c r="AF36" s="782">
        <f>+$E35*AF106</f>
        <v/>
      </c>
      <c r="AG36" s="782">
        <f>+$E35*AG106</f>
        <v/>
      </c>
      <c r="AH36" s="782">
        <f>SUM(V35:AG35)</f>
        <v/>
      </c>
      <c r="AI36" s="686" t="n"/>
      <c r="AJ36" s="782">
        <f>+AH35+T35</f>
        <v/>
      </c>
      <c r="AK36" s="686" t="n"/>
      <c r="AL36" s="686" t="n"/>
      <c r="AM36" s="686" t="n"/>
      <c r="AN36" s="686" t="n"/>
      <c r="AO36" s="686" t="n"/>
    </row>
    <row r="37" outlineLevel="1" ht="14" customHeight="1" s="549">
      <c r="A37" s="681" t="n"/>
      <c r="B37" s="681" t="n"/>
      <c r="C37" s="712" t="inlineStr">
        <is>
          <t>6.</t>
        </is>
      </c>
      <c r="D37" s="688" t="inlineStr">
        <is>
          <t>Alquileres Gestión Técnica</t>
        </is>
      </c>
      <c r="E37" s="792">
        <f>+Supuestos!E39</f>
        <v/>
      </c>
      <c r="F37" s="688">
        <f>+F107</f>
        <v/>
      </c>
      <c r="G37" s="681" t="n"/>
      <c r="H37" s="787">
        <f>+SUM(H37:H40)</f>
        <v/>
      </c>
      <c r="I37" s="787">
        <f>+SUM(I37:I40)</f>
        <v/>
      </c>
      <c r="J37" s="787">
        <f>+SUM(J37:J40)</f>
        <v/>
      </c>
      <c r="K37" s="787">
        <f>+SUM(K37:K40)</f>
        <v/>
      </c>
      <c r="L37" s="787">
        <f>+SUM(L37:L40)</f>
        <v/>
      </c>
      <c r="M37" s="787">
        <f>+SUM(M37:M40)</f>
        <v/>
      </c>
      <c r="N37" s="787">
        <f>+SUM(N37:N40)</f>
        <v/>
      </c>
      <c r="O37" s="787">
        <f>+SUM(O37:O40)</f>
        <v/>
      </c>
      <c r="P37" s="787">
        <f>+SUM(P37:P40)</f>
        <v/>
      </c>
      <c r="Q37" s="787">
        <f>+SUM(Q37:Q40)</f>
        <v/>
      </c>
      <c r="R37" s="787">
        <f>+SUM(R37:R40)</f>
        <v/>
      </c>
      <c r="S37" s="787">
        <f>+SUM(S37:S40)</f>
        <v/>
      </c>
      <c r="T37" s="787">
        <f>SUM(H36:S36)</f>
        <v/>
      </c>
      <c r="U37" s="681" t="n"/>
      <c r="V37" s="787">
        <f>+SUM(V37:V40)</f>
        <v/>
      </c>
      <c r="W37" s="787">
        <f>+SUM(W37:W40)</f>
        <v/>
      </c>
      <c r="X37" s="787">
        <f>+SUM(X37:X40)</f>
        <v/>
      </c>
      <c r="Y37" s="787">
        <f>+SUM(Y37:Y40)</f>
        <v/>
      </c>
      <c r="Z37" s="787">
        <f>+SUM(Z37:Z40)</f>
        <v/>
      </c>
      <c r="AA37" s="787">
        <f>+SUM(AA37:AA40)</f>
        <v/>
      </c>
      <c r="AB37" s="787">
        <f>+SUM(AB37:AB40)</f>
        <v/>
      </c>
      <c r="AC37" s="787">
        <f>+SUM(AC37:AC40)</f>
        <v/>
      </c>
      <c r="AD37" s="787">
        <f>+SUM(AD37:AD40)</f>
        <v/>
      </c>
      <c r="AE37" s="787">
        <f>+SUM(AE37:AE40)</f>
        <v/>
      </c>
      <c r="AF37" s="787">
        <f>+SUM(AF37:AF40)</f>
        <v/>
      </c>
      <c r="AG37" s="787">
        <f>+SUM(AG37:AG40)</f>
        <v/>
      </c>
      <c r="AH37" s="787">
        <f>SUM(V36:AG36)</f>
        <v/>
      </c>
      <c r="AI37" s="681" t="n"/>
      <c r="AJ37" s="787">
        <f>+AH36+T36</f>
        <v/>
      </c>
      <c r="AK37" s="681" t="n"/>
      <c r="AL37" s="681" t="n"/>
      <c r="AM37" s="681" t="n"/>
      <c r="AN37" s="681" t="n"/>
      <c r="AO37" s="681" t="n"/>
    </row>
    <row r="38" outlineLevel="1" ht="14" customHeight="1" s="549">
      <c r="A38" s="686" t="n"/>
      <c r="B38" s="686" t="inlineStr">
        <is>
          <t>Factura</t>
        </is>
      </c>
      <c r="C38" s="788" t="inlineStr">
        <is>
          <t>6.1</t>
        </is>
      </c>
      <c r="D38" s="789" t="inlineStr">
        <is>
          <t>Bodega Terreno</t>
        </is>
      </c>
      <c r="E38" s="790">
        <f>+Supuestos!G40</f>
        <v/>
      </c>
      <c r="F38" s="789">
        <f>+F108</f>
        <v/>
      </c>
      <c r="G38" s="686" t="n"/>
      <c r="H38" s="782">
        <f>+$E37*H108</f>
        <v/>
      </c>
      <c r="I38" s="782">
        <f>+$E37*I108</f>
        <v/>
      </c>
      <c r="J38" s="782">
        <f>+$E37*J108</f>
        <v/>
      </c>
      <c r="K38" s="782">
        <f>+$E37*K108</f>
        <v/>
      </c>
      <c r="L38" s="782">
        <f>+$E37*L108</f>
        <v/>
      </c>
      <c r="M38" s="782">
        <f>+$E37*M108</f>
        <v/>
      </c>
      <c r="N38" s="782">
        <f>+$E37*N108</f>
        <v/>
      </c>
      <c r="O38" s="782">
        <f>+$E37*O108</f>
        <v/>
      </c>
      <c r="P38" s="782">
        <f>+$E37*P108</f>
        <v/>
      </c>
      <c r="Q38" s="782">
        <f>+$E37*Q108</f>
        <v/>
      </c>
      <c r="R38" s="782">
        <f>+$E37*R108</f>
        <v/>
      </c>
      <c r="S38" s="782">
        <f>+$E37*S108</f>
        <v/>
      </c>
      <c r="T38" s="782">
        <f>SUM(H37:S37)</f>
        <v/>
      </c>
      <c r="U38" s="686" t="n"/>
      <c r="V38" s="782">
        <f>+$E37*V108</f>
        <v/>
      </c>
      <c r="W38" s="782">
        <f>+$E37*W108</f>
        <v/>
      </c>
      <c r="X38" s="782">
        <f>+$E37*X108</f>
        <v/>
      </c>
      <c r="Y38" s="782">
        <f>+$E37*Y108</f>
        <v/>
      </c>
      <c r="Z38" s="782">
        <f>+$E37*Z108</f>
        <v/>
      </c>
      <c r="AA38" s="782">
        <f>+$E37*AA108</f>
        <v/>
      </c>
      <c r="AB38" s="782">
        <f>+$E37*AB108</f>
        <v/>
      </c>
      <c r="AC38" s="782">
        <f>+$E37*AC108</f>
        <v/>
      </c>
      <c r="AD38" s="782">
        <f>+$E37*AD108</f>
        <v/>
      </c>
      <c r="AE38" s="782">
        <f>+$E37*AE108</f>
        <v/>
      </c>
      <c r="AF38" s="782">
        <f>+$E37*AF108</f>
        <v/>
      </c>
      <c r="AG38" s="782">
        <f>+$E37*AG108</f>
        <v/>
      </c>
      <c r="AH38" s="782">
        <f>SUM(V37:AG37)</f>
        <v/>
      </c>
      <c r="AI38" s="686" t="n"/>
      <c r="AJ38" s="782">
        <f>+AH37+T37</f>
        <v/>
      </c>
      <c r="AK38" s="686" t="n"/>
      <c r="AL38" s="686" t="n"/>
      <c r="AM38" s="686" t="n"/>
      <c r="AN38" s="686" t="n"/>
      <c r="AO38" s="686" t="n"/>
    </row>
    <row r="39" outlineLevel="1" ht="14" customHeight="1" s="549">
      <c r="A39" s="681" t="n"/>
      <c r="B39" s="681" t="inlineStr">
        <is>
          <t>Factura</t>
        </is>
      </c>
      <c r="C39" s="783" t="inlineStr">
        <is>
          <t>6.2</t>
        </is>
      </c>
      <c r="D39" s="784" t="inlineStr">
        <is>
          <t>Arriendo vehículo diario - Área Técnica</t>
        </is>
      </c>
      <c r="E39" s="785">
        <f>+Supuestos!G41</f>
        <v/>
      </c>
      <c r="F39" s="784">
        <f>+F109</f>
        <v/>
      </c>
      <c r="G39" s="681" t="n"/>
      <c r="H39" s="787">
        <f>+$E38*H109</f>
        <v/>
      </c>
      <c r="I39" s="787">
        <f>+$E38*I109</f>
        <v/>
      </c>
      <c r="J39" s="787">
        <f>+$E38*J109</f>
        <v/>
      </c>
      <c r="K39" s="787">
        <f>+$E38*K109</f>
        <v/>
      </c>
      <c r="L39" s="787">
        <f>+$E38*L109</f>
        <v/>
      </c>
      <c r="M39" s="787">
        <f>+$E38*M109</f>
        <v/>
      </c>
      <c r="N39" s="787">
        <f>+$E38*N109</f>
        <v/>
      </c>
      <c r="O39" s="787">
        <f>+$E38*O109</f>
        <v/>
      </c>
      <c r="P39" s="787">
        <f>+$E38*P109</f>
        <v/>
      </c>
      <c r="Q39" s="787">
        <f>+$E38*Q109</f>
        <v/>
      </c>
      <c r="R39" s="787">
        <f>+$E38*R109</f>
        <v/>
      </c>
      <c r="S39" s="787">
        <f>+$E38*S109</f>
        <v/>
      </c>
      <c r="T39" s="787">
        <f>SUM(H38:S38)</f>
        <v/>
      </c>
      <c r="U39" s="681" t="n"/>
      <c r="V39" s="787">
        <f>+$E38*V109</f>
        <v/>
      </c>
      <c r="W39" s="787">
        <f>+$E38*W109</f>
        <v/>
      </c>
      <c r="X39" s="787">
        <f>+$E38*X109</f>
        <v/>
      </c>
      <c r="Y39" s="787">
        <f>+$E38*Y109</f>
        <v/>
      </c>
      <c r="Z39" s="787">
        <f>+$E38*Z109</f>
        <v/>
      </c>
      <c r="AA39" s="787">
        <f>+$E38*AA109</f>
        <v/>
      </c>
      <c r="AB39" s="787">
        <f>+$E38*AB109</f>
        <v/>
      </c>
      <c r="AC39" s="787">
        <f>+$E38*AC109</f>
        <v/>
      </c>
      <c r="AD39" s="787">
        <f>+$E38*AD109</f>
        <v/>
      </c>
      <c r="AE39" s="787">
        <f>+$E38*AE109</f>
        <v/>
      </c>
      <c r="AF39" s="787">
        <f>+$E38*AF109</f>
        <v/>
      </c>
      <c r="AG39" s="787">
        <f>+$E38*AG109</f>
        <v/>
      </c>
      <c r="AH39" s="787">
        <f>SUM(V38:AG38)</f>
        <v/>
      </c>
      <c r="AI39" s="681" t="n"/>
      <c r="AJ39" s="787">
        <f>+AH38+T38</f>
        <v/>
      </c>
      <c r="AK39" s="681" t="n"/>
      <c r="AL39" s="681" t="n"/>
      <c r="AM39" s="681" t="n"/>
      <c r="AN39" s="681" t="n"/>
      <c r="AO39" s="681" t="n"/>
    </row>
    <row r="40" outlineLevel="1" ht="14" customHeight="1" s="549">
      <c r="A40" s="686" t="n"/>
      <c r="B40" s="686" t="inlineStr">
        <is>
          <t>Factura</t>
        </is>
      </c>
      <c r="C40" s="788" t="inlineStr">
        <is>
          <t>6.3</t>
        </is>
      </c>
      <c r="D40" s="789" t="inlineStr">
        <is>
          <t>Vehiculo Instaladores</t>
        </is>
      </c>
      <c r="E40" s="790">
        <f>+Supuestos!G42</f>
        <v/>
      </c>
      <c r="F40" s="789">
        <f>+F110</f>
        <v/>
      </c>
      <c r="G40" s="686" t="n"/>
      <c r="H40" s="782">
        <f>+$E39*H110</f>
        <v/>
      </c>
      <c r="I40" s="782">
        <f>+$E39*I110</f>
        <v/>
      </c>
      <c r="J40" s="782">
        <f>+$E39*J110</f>
        <v/>
      </c>
      <c r="K40" s="782">
        <f>+$E39*K110</f>
        <v/>
      </c>
      <c r="L40" s="782">
        <f>+$E39*L110</f>
        <v/>
      </c>
      <c r="M40" s="782">
        <f>+$E39*M110</f>
        <v/>
      </c>
      <c r="N40" s="782">
        <f>+$E39*N110</f>
        <v/>
      </c>
      <c r="O40" s="782">
        <f>+$E39*O110</f>
        <v/>
      </c>
      <c r="P40" s="782">
        <f>+$E39*P110</f>
        <v/>
      </c>
      <c r="Q40" s="782">
        <f>+$E39*Q110</f>
        <v/>
      </c>
      <c r="R40" s="782">
        <f>+$E39*R110</f>
        <v/>
      </c>
      <c r="S40" s="782">
        <f>+$E39*S110</f>
        <v/>
      </c>
      <c r="T40" s="782">
        <f>SUM(H39:S39)</f>
        <v/>
      </c>
      <c r="U40" s="686" t="n"/>
      <c r="V40" s="782">
        <f>+$E39*V110</f>
        <v/>
      </c>
      <c r="W40" s="782">
        <f>+$E39*W110</f>
        <v/>
      </c>
      <c r="X40" s="782">
        <f>+$E39*X110</f>
        <v/>
      </c>
      <c r="Y40" s="782">
        <f>+$E39*Y110</f>
        <v/>
      </c>
      <c r="Z40" s="782">
        <f>+$E39*Z110</f>
        <v/>
      </c>
      <c r="AA40" s="782">
        <f>+$E39*AA110</f>
        <v/>
      </c>
      <c r="AB40" s="782">
        <f>+$E39*AB110</f>
        <v/>
      </c>
      <c r="AC40" s="782">
        <f>+$E39*AC110</f>
        <v/>
      </c>
      <c r="AD40" s="782">
        <f>+$E39*AD110</f>
        <v/>
      </c>
      <c r="AE40" s="782">
        <f>+$E39*AE110</f>
        <v/>
      </c>
      <c r="AF40" s="782">
        <f>+$E39*AF110</f>
        <v/>
      </c>
      <c r="AG40" s="782">
        <f>+$E39*AG110</f>
        <v/>
      </c>
      <c r="AH40" s="782">
        <f>SUM(V39:AG39)</f>
        <v/>
      </c>
      <c r="AI40" s="686" t="n"/>
      <c r="AJ40" s="782">
        <f>+AH39+T39</f>
        <v/>
      </c>
      <c r="AK40" s="686" t="n"/>
      <c r="AL40" s="686" t="n"/>
      <c r="AM40" s="686" t="n"/>
      <c r="AN40" s="686" t="n"/>
      <c r="AO40" s="686" t="n"/>
    </row>
    <row r="41" ht="14" customHeight="1" s="549">
      <c r="A41" s="681" t="n"/>
      <c r="B41" s="681" t="inlineStr">
        <is>
          <t>Factura</t>
        </is>
      </c>
      <c r="C41" s="783" t="inlineStr">
        <is>
          <t>6.4</t>
        </is>
      </c>
      <c r="D41" s="784" t="inlineStr">
        <is>
          <t>Vehiculo Transporte (Maxus Deliver 9)</t>
        </is>
      </c>
      <c r="E41" s="785">
        <f>+Supuestos!G43</f>
        <v/>
      </c>
      <c r="F41" s="784">
        <f>+F111</f>
        <v/>
      </c>
      <c r="G41" s="681" t="n"/>
      <c r="H41" s="787">
        <f>+$E40*H111</f>
        <v/>
      </c>
      <c r="I41" s="787">
        <f>+$E40*I111</f>
        <v/>
      </c>
      <c r="J41" s="787">
        <f>+$E40*J111</f>
        <v/>
      </c>
      <c r="K41" s="787">
        <f>+$E40*K111</f>
        <v/>
      </c>
      <c r="L41" s="787">
        <f>+$E40*L111</f>
        <v/>
      </c>
      <c r="M41" s="787">
        <f>+$E40*M111</f>
        <v/>
      </c>
      <c r="N41" s="787">
        <f>+$E40*N111</f>
        <v/>
      </c>
      <c r="O41" s="787">
        <f>+$E40*O111</f>
        <v/>
      </c>
      <c r="P41" s="787">
        <f>+$E40*P111</f>
        <v/>
      </c>
      <c r="Q41" s="787">
        <f>+$E40*Q111</f>
        <v/>
      </c>
      <c r="R41" s="787">
        <f>+$E40*R111</f>
        <v/>
      </c>
      <c r="S41" s="787">
        <f>+$E40*S111</f>
        <v/>
      </c>
      <c r="T41" s="787">
        <f>SUM(H40:S40)</f>
        <v/>
      </c>
      <c r="U41" s="681" t="n"/>
      <c r="V41" s="787">
        <f>+$E40*V111</f>
        <v/>
      </c>
      <c r="W41" s="787">
        <f>+$E40*W111</f>
        <v/>
      </c>
      <c r="X41" s="787">
        <f>+$E40*X111</f>
        <v/>
      </c>
      <c r="Y41" s="787">
        <f>+$E40*Y111</f>
        <v/>
      </c>
      <c r="Z41" s="787">
        <f>+$E40*Z111</f>
        <v/>
      </c>
      <c r="AA41" s="787">
        <f>+$E40*AA111</f>
        <v/>
      </c>
      <c r="AB41" s="787">
        <f>+$E40*AB111</f>
        <v/>
      </c>
      <c r="AC41" s="787">
        <f>+$E40*AC111</f>
        <v/>
      </c>
      <c r="AD41" s="787">
        <f>+$E40*AD111</f>
        <v/>
      </c>
      <c r="AE41" s="787">
        <f>+$E40*AE111</f>
        <v/>
      </c>
      <c r="AF41" s="787">
        <f>+$E40*AF111</f>
        <v/>
      </c>
      <c r="AG41" s="787">
        <f>+$E40*AG111</f>
        <v/>
      </c>
      <c r="AH41" s="787">
        <f>SUM(V40:AG40)</f>
        <v/>
      </c>
      <c r="AI41" s="681" t="n"/>
      <c r="AJ41" s="787">
        <f>+AH40+T40</f>
        <v/>
      </c>
      <c r="AK41" s="681" t="n"/>
      <c r="AL41" s="681" t="n"/>
      <c r="AM41" s="681" t="n"/>
      <c r="AN41" s="681" t="n"/>
      <c r="AO41" s="681" t="n"/>
    </row>
    <row r="42" outlineLevel="1" ht="14" customHeight="1" s="549">
      <c r="A42" s="686" t="n"/>
      <c r="B42" s="686" t="n"/>
      <c r="C42" s="771" t="inlineStr">
        <is>
          <t>7.</t>
        </is>
      </c>
      <c r="D42" s="682" t="inlineStr">
        <is>
          <t>Transporte</t>
        </is>
      </c>
      <c r="E42" s="780">
        <f>+Supuestos!E44</f>
        <v/>
      </c>
      <c r="F42" s="682">
        <f>+F112</f>
        <v/>
      </c>
      <c r="G42" s="686" t="n"/>
      <c r="H42" s="782">
        <f>+SUM(H42:H48)</f>
        <v/>
      </c>
      <c r="I42" s="782">
        <f>+SUM(I42:I48)</f>
        <v/>
      </c>
      <c r="J42" s="782">
        <f>+SUM(J42:J48)</f>
        <v/>
      </c>
      <c r="K42" s="782">
        <f>+SUM(K42:K48)</f>
        <v/>
      </c>
      <c r="L42" s="782">
        <f>+SUM(L42:L48)</f>
        <v/>
      </c>
      <c r="M42" s="782">
        <f>+SUM(M42:M48)</f>
        <v/>
      </c>
      <c r="N42" s="782">
        <f>+SUM(N42:N48)</f>
        <v/>
      </c>
      <c r="O42" s="782">
        <f>+SUM(O42:O48)</f>
        <v/>
      </c>
      <c r="P42" s="782">
        <f>+SUM(P42:P48)</f>
        <v/>
      </c>
      <c r="Q42" s="782">
        <f>+SUM(Q42:Q48)</f>
        <v/>
      </c>
      <c r="R42" s="782">
        <f>+SUM(R42:R48)</f>
        <v/>
      </c>
      <c r="S42" s="782">
        <f>+SUM(S42:S48)</f>
        <v/>
      </c>
      <c r="T42" s="782">
        <f>SUM(H41:S41)</f>
        <v/>
      </c>
      <c r="U42" s="686" t="n"/>
      <c r="V42" s="782">
        <f>+SUM(V42:V48)</f>
        <v/>
      </c>
      <c r="W42" s="782">
        <f>+SUM(W42:W48)</f>
        <v/>
      </c>
      <c r="X42" s="782">
        <f>+SUM(X42:X48)</f>
        <v/>
      </c>
      <c r="Y42" s="782">
        <f>+SUM(Y42:Y48)</f>
        <v/>
      </c>
      <c r="Z42" s="782">
        <f>+SUM(Z42:Z48)</f>
        <v/>
      </c>
      <c r="AA42" s="782">
        <f>+SUM(AA42:AA48)</f>
        <v/>
      </c>
      <c r="AB42" s="782">
        <f>+SUM(AB42:AB48)</f>
        <v/>
      </c>
      <c r="AC42" s="782">
        <f>+SUM(AC42:AC48)</f>
        <v/>
      </c>
      <c r="AD42" s="782">
        <f>+SUM(AD42:AD48)</f>
        <v/>
      </c>
      <c r="AE42" s="782">
        <f>+SUM(AE42:AE48)</f>
        <v/>
      </c>
      <c r="AF42" s="782">
        <f>+SUM(AF42:AF48)</f>
        <v/>
      </c>
      <c r="AG42" s="782">
        <f>+SUM(AG42:AG48)</f>
        <v/>
      </c>
      <c r="AH42" s="782">
        <f>SUM(V41:AG41)</f>
        <v/>
      </c>
      <c r="AI42" s="686" t="n"/>
      <c r="AJ42" s="782">
        <f>+AH41+T41</f>
        <v/>
      </c>
      <c r="AK42" s="686" t="n"/>
      <c r="AL42" s="686" t="n"/>
      <c r="AM42" s="686" t="n"/>
      <c r="AN42" s="686" t="n"/>
      <c r="AO42" s="686" t="n"/>
    </row>
    <row r="43" outlineLevel="1" ht="14" customHeight="1" s="549">
      <c r="A43" s="681" t="n"/>
      <c r="B43" s="681" t="inlineStr">
        <is>
          <t>Factura</t>
        </is>
      </c>
      <c r="C43" s="783" t="inlineStr">
        <is>
          <t>7.1</t>
        </is>
      </c>
      <c r="D43" s="784" t="inlineStr">
        <is>
          <t>Transporte ZIMPERTEC</t>
        </is>
      </c>
      <c r="E43" s="785">
        <f>+Supuestos!G45</f>
        <v/>
      </c>
      <c r="F43" s="784">
        <f>+F113</f>
        <v/>
      </c>
      <c r="G43" s="681" t="n"/>
      <c r="H43" s="787">
        <f>+$E42*H113</f>
        <v/>
      </c>
      <c r="I43" s="787">
        <f>+$E42*I113</f>
        <v/>
      </c>
      <c r="J43" s="787">
        <f>+$E42*J113</f>
        <v/>
      </c>
      <c r="K43" s="787">
        <f>+$E42*K113</f>
        <v/>
      </c>
      <c r="L43" s="787">
        <f>+$E42*L113</f>
        <v/>
      </c>
      <c r="M43" s="787">
        <f>+$E42*M113</f>
        <v/>
      </c>
      <c r="N43" s="787">
        <f>+$E42*N113</f>
        <v/>
      </c>
      <c r="O43" s="787">
        <f>+$E42*O113</f>
        <v/>
      </c>
      <c r="P43" s="787">
        <f>+$E42*P113</f>
        <v/>
      </c>
      <c r="Q43" s="787">
        <f>+$E42*Q113</f>
        <v/>
      </c>
      <c r="R43" s="787">
        <f>+$E42*R113</f>
        <v/>
      </c>
      <c r="S43" s="787">
        <f>+$E42*S113</f>
        <v/>
      </c>
      <c r="T43" s="787">
        <f>SUM(H42:S42)</f>
        <v/>
      </c>
      <c r="U43" s="681" t="n"/>
      <c r="V43" s="787">
        <f>+$E42*V113</f>
        <v/>
      </c>
      <c r="W43" s="787">
        <f>+$E42*W113</f>
        <v/>
      </c>
      <c r="X43" s="787">
        <f>+$E42*X113</f>
        <v/>
      </c>
      <c r="Y43" s="787">
        <f>+$E42*Y113</f>
        <v/>
      </c>
      <c r="Z43" s="787">
        <f>+$E42*Z113</f>
        <v/>
      </c>
      <c r="AA43" s="787">
        <f>+$E42*AA113</f>
        <v/>
      </c>
      <c r="AB43" s="787">
        <f>+$E42*AB113</f>
        <v/>
      </c>
      <c r="AC43" s="787">
        <f>+$E42*AC113</f>
        <v/>
      </c>
      <c r="AD43" s="787">
        <f>+$E42*AD113</f>
        <v/>
      </c>
      <c r="AE43" s="787">
        <f>+$E42*AE113</f>
        <v/>
      </c>
      <c r="AF43" s="787">
        <f>+$E42*AF113</f>
        <v/>
      </c>
      <c r="AG43" s="787">
        <f>+$E42*AG113</f>
        <v/>
      </c>
      <c r="AH43" s="787">
        <f>SUM(V42:AG42)</f>
        <v/>
      </c>
      <c r="AI43" s="681" t="n"/>
      <c r="AJ43" s="787">
        <f>+AH42+T42</f>
        <v/>
      </c>
      <c r="AK43" s="681" t="n"/>
      <c r="AL43" s="681" t="n"/>
      <c r="AM43" s="681" t="n"/>
      <c r="AN43" s="681" t="n"/>
      <c r="AO43" s="681" t="n"/>
    </row>
    <row r="44" outlineLevel="1" ht="14" customHeight="1" s="549">
      <c r="A44" s="686" t="n"/>
      <c r="B44" s="686" t="n"/>
      <c r="C44" s="686" t="n"/>
      <c r="D44" s="686" t="n"/>
      <c r="E44" s="686" t="n"/>
      <c r="F44" s="686" t="n"/>
      <c r="G44" s="686" t="n"/>
      <c r="H44" s="686" t="n"/>
      <c r="I44" s="686" t="n"/>
      <c r="J44" s="686" t="n"/>
      <c r="K44" s="686" t="n"/>
      <c r="L44" s="686" t="n"/>
      <c r="M44" s="686" t="n"/>
      <c r="N44" s="686" t="n"/>
      <c r="O44" s="686" t="n"/>
      <c r="P44" s="686" t="n"/>
      <c r="Q44" s="686" t="n"/>
      <c r="R44" s="686" t="n"/>
      <c r="S44" s="686" t="n"/>
      <c r="T44" s="782">
        <f>SUM(H43:S43)</f>
        <v/>
      </c>
      <c r="U44" s="686" t="n"/>
      <c r="V44" s="686" t="n"/>
      <c r="W44" s="686" t="n"/>
      <c r="X44" s="686" t="n"/>
      <c r="Y44" s="686" t="n"/>
      <c r="Z44" s="686" t="n"/>
      <c r="AA44" s="686" t="n"/>
      <c r="AB44" s="686" t="n"/>
      <c r="AC44" s="686" t="n"/>
      <c r="AD44" s="686" t="n"/>
      <c r="AE44" s="686" t="n"/>
      <c r="AF44" s="686" t="n"/>
      <c r="AG44" s="686" t="n"/>
      <c r="AH44" s="782">
        <f>SUM(V43:AG43)</f>
        <v/>
      </c>
      <c r="AI44" s="686" t="n"/>
      <c r="AJ44" s="782">
        <f>+AH43+T43</f>
        <v/>
      </c>
      <c r="AK44" s="686" t="n"/>
      <c r="AL44" s="686" t="n"/>
      <c r="AM44" s="686" t="n"/>
      <c r="AN44" s="686" t="n"/>
      <c r="AO44" s="686" t="n"/>
    </row>
    <row r="45" outlineLevel="1" ht="14" customHeight="1" s="549">
      <c r="A45" s="681" t="n"/>
      <c r="B45" s="681" t="inlineStr">
        <is>
          <t>Factura</t>
        </is>
      </c>
      <c r="C45" s="783" t="inlineStr">
        <is>
          <t>7.3</t>
        </is>
      </c>
      <c r="D45" s="784" t="inlineStr">
        <is>
          <t>Traslado Contenedor (ida y vuelta)</t>
        </is>
      </c>
      <c r="E45" s="785">
        <f>+Supuestos!G47</f>
        <v/>
      </c>
      <c r="F45" s="784">
        <f>+F115</f>
        <v/>
      </c>
      <c r="G45" s="681" t="n"/>
      <c r="H45" s="787">
        <f>+$E44*H115</f>
        <v/>
      </c>
      <c r="I45" s="787">
        <f>+$E44*I115</f>
        <v/>
      </c>
      <c r="J45" s="787">
        <f>+$E44*J115</f>
        <v/>
      </c>
      <c r="K45" s="787">
        <f>+$E44*K115</f>
        <v/>
      </c>
      <c r="L45" s="787">
        <f>+$E44*L115</f>
        <v/>
      </c>
      <c r="M45" s="787">
        <f>+$E44*M115</f>
        <v/>
      </c>
      <c r="N45" s="787">
        <f>+$E44*N115</f>
        <v/>
      </c>
      <c r="O45" s="787">
        <f>+$E44*O115</f>
        <v/>
      </c>
      <c r="P45" s="787">
        <f>+$E44*P115</f>
        <v/>
      </c>
      <c r="Q45" s="787">
        <f>+$E44*Q115</f>
        <v/>
      </c>
      <c r="R45" s="787">
        <f>+$E44*R115</f>
        <v/>
      </c>
      <c r="S45" s="787">
        <f>+$E44*S115</f>
        <v/>
      </c>
      <c r="T45" s="787">
        <f>SUM(H44:S44)</f>
        <v/>
      </c>
      <c r="U45" s="681" t="n"/>
      <c r="V45" s="787">
        <f>+$E44*V115</f>
        <v/>
      </c>
      <c r="W45" s="787">
        <f>+$E44*W115</f>
        <v/>
      </c>
      <c r="X45" s="787">
        <f>+$E44*X115</f>
        <v/>
      </c>
      <c r="Y45" s="787">
        <f>+$E44*Y115</f>
        <v/>
      </c>
      <c r="Z45" s="787">
        <f>+$E44*Z115</f>
        <v/>
      </c>
      <c r="AA45" s="787">
        <f>+$E44*AA115</f>
        <v/>
      </c>
      <c r="AB45" s="787">
        <f>+$E44*AB115</f>
        <v/>
      </c>
      <c r="AC45" s="787">
        <f>+$E44*AC115</f>
        <v/>
      </c>
      <c r="AD45" s="787">
        <f>+$E44*AD115</f>
        <v/>
      </c>
      <c r="AE45" s="787">
        <f>+$E44*AE115</f>
        <v/>
      </c>
      <c r="AF45" s="787">
        <f>+$E44*AF115</f>
        <v/>
      </c>
      <c r="AG45" s="787">
        <f>+$E44*AG115</f>
        <v/>
      </c>
      <c r="AH45" s="787">
        <f>SUM(V44:AG44)</f>
        <v/>
      </c>
      <c r="AI45" s="681" t="n"/>
      <c r="AJ45" s="787">
        <f>+AH44+T44</f>
        <v/>
      </c>
      <c r="AK45" s="681" t="n"/>
      <c r="AL45" s="681" t="n"/>
      <c r="AM45" s="681" t="n"/>
      <c r="AN45" s="681" t="n"/>
      <c r="AO45" s="681" t="n"/>
    </row>
    <row r="46" outlineLevel="1" ht="14" customHeight="1" s="549">
      <c r="A46" s="686" t="n"/>
      <c r="B46" s="686" t="inlineStr">
        <is>
          <t>Factura</t>
        </is>
      </c>
      <c r="C46" s="788" t="inlineStr">
        <is>
          <t>7.4</t>
        </is>
      </c>
      <c r="D46" s="789" t="inlineStr">
        <is>
          <t>Camión Transporte Origen - Punto Destino (RAMPLA ABIERTA)</t>
        </is>
      </c>
      <c r="E46" s="790">
        <f>+Supuestos!G48</f>
        <v/>
      </c>
      <c r="F46" s="789">
        <f>+F116</f>
        <v/>
      </c>
      <c r="G46" s="686" t="n"/>
      <c r="H46" s="782">
        <f>+$E45*H116</f>
        <v/>
      </c>
      <c r="I46" s="782">
        <f>+$E45*I116</f>
        <v/>
      </c>
      <c r="J46" s="782">
        <f>+$E45*J116</f>
        <v/>
      </c>
      <c r="K46" s="782">
        <f>+$E45*K116</f>
        <v/>
      </c>
      <c r="L46" s="782">
        <f>+$E45*L116</f>
        <v/>
      </c>
      <c r="M46" s="782">
        <f>+$E45*M116</f>
        <v/>
      </c>
      <c r="N46" s="782">
        <f>+$E45*N116</f>
        <v/>
      </c>
      <c r="O46" s="782">
        <f>+$E45*O116</f>
        <v/>
      </c>
      <c r="P46" s="782">
        <f>+$E45*P116</f>
        <v/>
      </c>
      <c r="Q46" s="782">
        <f>+$E45*Q116</f>
        <v/>
      </c>
      <c r="R46" s="782">
        <f>+$E45*R116</f>
        <v/>
      </c>
      <c r="S46" s="782">
        <f>+$E45*S116</f>
        <v/>
      </c>
      <c r="T46" s="782">
        <f>SUM(H45:S45)</f>
        <v/>
      </c>
      <c r="U46" s="686" t="n"/>
      <c r="V46" s="782">
        <f>+$E45*V116</f>
        <v/>
      </c>
      <c r="W46" s="782">
        <f>+$E45*W116</f>
        <v/>
      </c>
      <c r="X46" s="782">
        <f>+$E45*X116</f>
        <v/>
      </c>
      <c r="Y46" s="782">
        <f>+$E45*Y116</f>
        <v/>
      </c>
      <c r="Z46" s="782">
        <f>+$E45*Z116</f>
        <v/>
      </c>
      <c r="AA46" s="782">
        <f>+$E45*AA116</f>
        <v/>
      </c>
      <c r="AB46" s="782">
        <f>+$E45*AB116</f>
        <v/>
      </c>
      <c r="AC46" s="782">
        <f>+$E45*AC116</f>
        <v/>
      </c>
      <c r="AD46" s="782">
        <f>+$E45*AD116</f>
        <v/>
      </c>
      <c r="AE46" s="782">
        <f>+$E45*AE116</f>
        <v/>
      </c>
      <c r="AF46" s="782">
        <f>+$E45*AF116</f>
        <v/>
      </c>
      <c r="AG46" s="782">
        <f>+$E45*AG116</f>
        <v/>
      </c>
      <c r="AH46" s="782">
        <f>SUM(V45:AG45)</f>
        <v/>
      </c>
      <c r="AI46" s="686" t="n"/>
      <c r="AJ46" s="782">
        <f>+AH45+T45</f>
        <v/>
      </c>
      <c r="AK46" s="686" t="n"/>
      <c r="AL46" s="686" t="n"/>
      <c r="AM46" s="686" t="n"/>
      <c r="AN46" s="686" t="n"/>
      <c r="AO46" s="686" t="n"/>
    </row>
    <row r="47" outlineLevel="1" ht="14" customHeight="1" s="549">
      <c r="A47" s="681" t="n"/>
      <c r="B47" s="681" t="n"/>
      <c r="C47" s="681" t="n"/>
      <c r="D47" s="681" t="n"/>
      <c r="E47" s="681" t="n"/>
      <c r="F47" s="681" t="n"/>
      <c r="G47" s="681" t="n"/>
      <c r="H47" s="681" t="n"/>
      <c r="I47" s="681" t="n"/>
      <c r="J47" s="681" t="n"/>
      <c r="K47" s="681" t="n"/>
      <c r="L47" s="681" t="n"/>
      <c r="M47" s="681" t="n"/>
      <c r="N47" s="681" t="n"/>
      <c r="O47" s="681" t="n"/>
      <c r="P47" s="681" t="n"/>
      <c r="Q47" s="681" t="n"/>
      <c r="R47" s="681" t="n"/>
      <c r="S47" s="681" t="n"/>
      <c r="T47" s="787">
        <f>SUM(H46:S46)</f>
        <v/>
      </c>
      <c r="U47" s="681" t="n"/>
      <c r="V47" s="681" t="n"/>
      <c r="W47" s="681" t="n"/>
      <c r="X47" s="681" t="n"/>
      <c r="Y47" s="681" t="n"/>
      <c r="Z47" s="681" t="n"/>
      <c r="AA47" s="681" t="n"/>
      <c r="AB47" s="681" t="n"/>
      <c r="AC47" s="681" t="n"/>
      <c r="AD47" s="681" t="n"/>
      <c r="AE47" s="681" t="n"/>
      <c r="AF47" s="681" t="n"/>
      <c r="AG47" s="681" t="n"/>
      <c r="AH47" s="787">
        <f>SUM(V46:AG46)</f>
        <v/>
      </c>
      <c r="AI47" s="681" t="n"/>
      <c r="AJ47" s="787">
        <f>+AH46+T46</f>
        <v/>
      </c>
      <c r="AK47" s="681" t="n"/>
      <c r="AL47" s="681" t="n"/>
      <c r="AM47" s="681" t="n"/>
      <c r="AN47" s="681" t="n"/>
      <c r="AO47" s="681" t="n"/>
    </row>
    <row r="48" outlineLevel="1" ht="14" customHeight="1" s="549">
      <c r="A48" s="686" t="n"/>
      <c r="B48" s="686" t="n"/>
      <c r="C48" s="686" t="n"/>
      <c r="D48" s="686" t="n"/>
      <c r="E48" s="686" t="n"/>
      <c r="F48" s="686" t="n"/>
      <c r="G48" s="686" t="n"/>
      <c r="H48" s="686" t="n"/>
      <c r="I48" s="686" t="n"/>
      <c r="J48" s="686" t="n"/>
      <c r="K48" s="686" t="n"/>
      <c r="L48" s="686" t="n"/>
      <c r="M48" s="686" t="n"/>
      <c r="N48" s="686" t="n"/>
      <c r="O48" s="686" t="n"/>
      <c r="P48" s="686" t="n"/>
      <c r="Q48" s="686" t="n"/>
      <c r="R48" s="686" t="n"/>
      <c r="S48" s="686" t="n"/>
      <c r="T48" s="782">
        <f>SUM(H47:S47)</f>
        <v/>
      </c>
      <c r="U48" s="686" t="n"/>
      <c r="V48" s="686" t="n"/>
      <c r="W48" s="686" t="n"/>
      <c r="X48" s="686" t="n"/>
      <c r="Y48" s="686" t="n"/>
      <c r="Z48" s="686" t="n"/>
      <c r="AA48" s="686" t="n"/>
      <c r="AB48" s="686" t="n"/>
      <c r="AC48" s="686" t="n"/>
      <c r="AD48" s="686" t="n"/>
      <c r="AE48" s="686" t="n"/>
      <c r="AF48" s="686" t="n"/>
      <c r="AG48" s="686" t="n"/>
      <c r="AH48" s="782">
        <f>SUM(V47:AG47)</f>
        <v/>
      </c>
      <c r="AI48" s="686" t="n"/>
      <c r="AJ48" s="782">
        <f>+AH47+T47</f>
        <v/>
      </c>
      <c r="AK48" s="686" t="n"/>
      <c r="AL48" s="686" t="n"/>
      <c r="AM48" s="686" t="n"/>
      <c r="AN48" s="686" t="n"/>
      <c r="AO48" s="686" t="n"/>
    </row>
    <row r="49" ht="14" customHeight="1" s="549">
      <c r="A49" s="681" t="n"/>
      <c r="B49" s="681" t="inlineStr">
        <is>
          <t>Factura</t>
        </is>
      </c>
      <c r="C49" s="783" t="inlineStr">
        <is>
          <t>7.7</t>
        </is>
      </c>
      <c r="D49" s="784" t="inlineStr">
        <is>
          <t>Camión Transporte Origen - Punto Destino (Camión cerrado)</t>
        </is>
      </c>
      <c r="E49" s="785">
        <f>+Supuestos!G51</f>
        <v/>
      </c>
      <c r="F49" s="784">
        <f>+F119</f>
        <v/>
      </c>
      <c r="G49" s="681" t="n"/>
      <c r="H49" s="787">
        <f>+$E48*H119</f>
        <v/>
      </c>
      <c r="I49" s="787">
        <f>+$E48*I119</f>
        <v/>
      </c>
      <c r="J49" s="787">
        <f>+$E48*J119</f>
        <v/>
      </c>
      <c r="K49" s="787">
        <f>+$E48*K119</f>
        <v/>
      </c>
      <c r="L49" s="787">
        <f>+$E48*L119</f>
        <v/>
      </c>
      <c r="M49" s="787">
        <f>+$E48*M119</f>
        <v/>
      </c>
      <c r="N49" s="787">
        <f>+$E48*N119</f>
        <v/>
      </c>
      <c r="O49" s="787">
        <f>+$E48*O119</f>
        <v/>
      </c>
      <c r="P49" s="787">
        <f>+$E48*P119</f>
        <v/>
      </c>
      <c r="Q49" s="787">
        <f>+$E48*Q119</f>
        <v/>
      </c>
      <c r="R49" s="787">
        <f>+$E48*R119</f>
        <v/>
      </c>
      <c r="S49" s="787">
        <f>+$E48*S119</f>
        <v/>
      </c>
      <c r="T49" s="787">
        <f>SUM(H48:S48)</f>
        <v/>
      </c>
      <c r="U49" s="681" t="n"/>
      <c r="V49" s="787">
        <f>+$E48*V119</f>
        <v/>
      </c>
      <c r="W49" s="787">
        <f>+$E48*W119</f>
        <v/>
      </c>
      <c r="X49" s="787">
        <f>+$E48*X119</f>
        <v/>
      </c>
      <c r="Y49" s="787">
        <f>+$E48*Y119</f>
        <v/>
      </c>
      <c r="Z49" s="787">
        <f>+$E48*Z119</f>
        <v/>
      </c>
      <c r="AA49" s="787">
        <f>+$E48*AA119</f>
        <v/>
      </c>
      <c r="AB49" s="787">
        <f>+$E48*AB119</f>
        <v/>
      </c>
      <c r="AC49" s="787">
        <f>+$E48*AC119</f>
        <v/>
      </c>
      <c r="AD49" s="787">
        <f>+$E48*AD119</f>
        <v/>
      </c>
      <c r="AE49" s="787">
        <f>+$E48*AE119</f>
        <v/>
      </c>
      <c r="AF49" s="787">
        <f>+$E48*AF119</f>
        <v/>
      </c>
      <c r="AG49" s="787">
        <f>+$E48*AG119</f>
        <v/>
      </c>
      <c r="AH49" s="787">
        <f>SUM(V48:AG48)</f>
        <v/>
      </c>
      <c r="AI49" s="681" t="n"/>
      <c r="AJ49" s="787">
        <f>+AH48+T48</f>
        <v/>
      </c>
      <c r="AK49" s="681" t="n"/>
      <c r="AL49" s="681" t="n"/>
      <c r="AM49" s="681" t="n"/>
      <c r="AN49" s="681" t="n"/>
      <c r="AO49" s="681" t="n"/>
    </row>
    <row r="50" outlineLevel="1" ht="14" customHeight="1" s="549">
      <c r="A50" s="686" t="n"/>
      <c r="B50" s="686" t="n"/>
      <c r="C50" s="771" t="inlineStr">
        <is>
          <t>8.</t>
        </is>
      </c>
      <c r="D50" s="682" t="inlineStr">
        <is>
          <t>Viajes RRCC</t>
        </is>
      </c>
      <c r="E50" s="780">
        <f>+Supuestos!E52</f>
        <v/>
      </c>
      <c r="F50" s="682">
        <f>+F120</f>
        <v/>
      </c>
      <c r="G50" s="686" t="n"/>
      <c r="H50" s="782">
        <f>+SUM(H50:H55)</f>
        <v/>
      </c>
      <c r="I50" s="782">
        <f>+SUM(I50:I55)</f>
        <v/>
      </c>
      <c r="J50" s="782">
        <f>+SUM(J50:J55)</f>
        <v/>
      </c>
      <c r="K50" s="782">
        <f>+SUM(K50:K55)</f>
        <v/>
      </c>
      <c r="L50" s="782">
        <f>+SUM(L50:L55)</f>
        <v/>
      </c>
      <c r="M50" s="782">
        <f>+SUM(M50:M55)</f>
        <v/>
      </c>
      <c r="N50" s="782">
        <f>+SUM(N50:N55)</f>
        <v/>
      </c>
      <c r="O50" s="782">
        <f>+SUM(O50:O55)</f>
        <v/>
      </c>
      <c r="P50" s="782">
        <f>+SUM(P50:P55)</f>
        <v/>
      </c>
      <c r="Q50" s="782">
        <f>+SUM(Q50:Q55)</f>
        <v/>
      </c>
      <c r="R50" s="782">
        <f>+SUM(R50:R55)</f>
        <v/>
      </c>
      <c r="S50" s="782">
        <f>+SUM(S50:S55)</f>
        <v/>
      </c>
      <c r="T50" s="782">
        <f>SUM(H49:S49)</f>
        <v/>
      </c>
      <c r="U50" s="686" t="n"/>
      <c r="V50" s="782">
        <f>+SUM(V50:V55)</f>
        <v/>
      </c>
      <c r="W50" s="782">
        <f>+SUM(W50:W55)</f>
        <v/>
      </c>
      <c r="X50" s="782">
        <f>+SUM(X50:X55)</f>
        <v/>
      </c>
      <c r="Y50" s="782">
        <f>+SUM(Y50:Y55)</f>
        <v/>
      </c>
      <c r="Z50" s="782">
        <f>+SUM(Z50:Z55)</f>
        <v/>
      </c>
      <c r="AA50" s="782">
        <f>+SUM(AA50:AA55)</f>
        <v/>
      </c>
      <c r="AB50" s="782">
        <f>+SUM(AB50:AB55)</f>
        <v/>
      </c>
      <c r="AC50" s="782">
        <f>+SUM(AC50:AC55)</f>
        <v/>
      </c>
      <c r="AD50" s="782">
        <f>+SUM(AD50:AD55)</f>
        <v/>
      </c>
      <c r="AE50" s="782">
        <f>+SUM(AE50:AE55)</f>
        <v/>
      </c>
      <c r="AF50" s="782">
        <f>+SUM(AF50:AF55)</f>
        <v/>
      </c>
      <c r="AG50" s="782">
        <f>+SUM(AG50:AG55)</f>
        <v/>
      </c>
      <c r="AH50" s="782">
        <f>SUM(V49:AG49)</f>
        <v/>
      </c>
      <c r="AI50" s="686" t="n"/>
      <c r="AJ50" s="782">
        <f>+AH49+T49</f>
        <v/>
      </c>
      <c r="AK50" s="686" t="n"/>
      <c r="AL50" s="686" t="n"/>
      <c r="AM50" s="686" t="n"/>
      <c r="AN50" s="686" t="n"/>
      <c r="AO50" s="686" t="n"/>
    </row>
    <row r="51" outlineLevel="1" ht="14" customHeight="1" s="549">
      <c r="A51" s="681" t="n"/>
      <c r="B51" s="681" t="inlineStr">
        <is>
          <t>Factura</t>
        </is>
      </c>
      <c r="C51" s="783" t="inlineStr">
        <is>
          <t>8.1</t>
        </is>
      </c>
      <c r="D51" s="784" t="inlineStr">
        <is>
          <t>Traslados de personal</t>
        </is>
      </c>
      <c r="E51" s="785">
        <f>+Supuestos!G53</f>
        <v/>
      </c>
      <c r="F51" s="784">
        <f>+F121</f>
        <v/>
      </c>
      <c r="G51" s="681" t="n"/>
      <c r="H51" s="787">
        <f>+$E50*H121</f>
        <v/>
      </c>
      <c r="I51" s="787">
        <f>+$E50*I121</f>
        <v/>
      </c>
      <c r="J51" s="787">
        <f>+$E50*J121</f>
        <v/>
      </c>
      <c r="K51" s="787">
        <f>+$E50*K121</f>
        <v/>
      </c>
      <c r="L51" s="787">
        <f>+$E50*L121</f>
        <v/>
      </c>
      <c r="M51" s="787">
        <f>+$E50*M121</f>
        <v/>
      </c>
      <c r="N51" s="787">
        <f>+$E50*N121</f>
        <v/>
      </c>
      <c r="O51" s="787">
        <f>+$E50*O121</f>
        <v/>
      </c>
      <c r="P51" s="787">
        <f>+$E50*P121</f>
        <v/>
      </c>
      <c r="Q51" s="787">
        <f>+$E50*Q121</f>
        <v/>
      </c>
      <c r="R51" s="787">
        <f>+$E50*R121</f>
        <v/>
      </c>
      <c r="S51" s="787">
        <f>+$E50*S121</f>
        <v/>
      </c>
      <c r="T51" s="787">
        <f>SUM(H50:S50)</f>
        <v/>
      </c>
      <c r="U51" s="681" t="n"/>
      <c r="V51" s="787">
        <f>+$E50*V121</f>
        <v/>
      </c>
      <c r="W51" s="787">
        <f>+$E50*W121</f>
        <v/>
      </c>
      <c r="X51" s="787">
        <f>+$E50*X121</f>
        <v/>
      </c>
      <c r="Y51" s="787">
        <f>+$E50*Y121</f>
        <v/>
      </c>
      <c r="Z51" s="787">
        <f>+$E50*Z121</f>
        <v/>
      </c>
      <c r="AA51" s="787">
        <f>+$E50*AA121</f>
        <v/>
      </c>
      <c r="AB51" s="787">
        <f>+$E50*AB121</f>
        <v/>
      </c>
      <c r="AC51" s="787">
        <f>+$E50*AC121</f>
        <v/>
      </c>
      <c r="AD51" s="787">
        <f>+$E50*AD121</f>
        <v/>
      </c>
      <c r="AE51" s="787">
        <f>+$E50*AE121</f>
        <v/>
      </c>
      <c r="AF51" s="787">
        <f>+$E50*AF121</f>
        <v/>
      </c>
      <c r="AG51" s="787">
        <f>+$E50*AG121</f>
        <v/>
      </c>
      <c r="AH51" s="787">
        <f>SUM(V50:AG50)</f>
        <v/>
      </c>
      <c r="AI51" s="681" t="n"/>
      <c r="AJ51" s="787">
        <f>+AH50+T50</f>
        <v/>
      </c>
      <c r="AK51" s="681" t="n"/>
      <c r="AL51" s="681" t="n"/>
      <c r="AM51" s="681" t="n"/>
      <c r="AN51" s="681" t="n"/>
      <c r="AO51" s="681" t="n"/>
    </row>
    <row r="52" outlineLevel="1" ht="14" customHeight="1" s="549">
      <c r="A52" s="686" t="n"/>
      <c r="B52" s="686" t="inlineStr">
        <is>
          <t xml:space="preserve">Factura o Boleta </t>
        </is>
      </c>
      <c r="C52" s="788" t="inlineStr">
        <is>
          <t>8.2</t>
        </is>
      </c>
      <c r="D52" s="789" t="inlineStr">
        <is>
          <t>Alojamiento</t>
        </is>
      </c>
      <c r="E52" s="790">
        <f>+Supuestos!G54</f>
        <v/>
      </c>
      <c r="F52" s="789">
        <f>+F122</f>
        <v/>
      </c>
      <c r="G52" s="686" t="n"/>
      <c r="H52" s="782">
        <f>+$E51*H122</f>
        <v/>
      </c>
      <c r="I52" s="782">
        <f>+$E51*I122</f>
        <v/>
      </c>
      <c r="J52" s="782">
        <f>+$E51*J122</f>
        <v/>
      </c>
      <c r="K52" s="782">
        <f>+$E51*K122</f>
        <v/>
      </c>
      <c r="L52" s="782">
        <f>+$E51*L122</f>
        <v/>
      </c>
      <c r="M52" s="782">
        <f>+$E51*M122</f>
        <v/>
      </c>
      <c r="N52" s="782">
        <f>+$E51*N122</f>
        <v/>
      </c>
      <c r="O52" s="782">
        <f>+$E51*O122</f>
        <v/>
      </c>
      <c r="P52" s="782">
        <f>+$E51*P122</f>
        <v/>
      </c>
      <c r="Q52" s="782">
        <f>+$E51*Q122</f>
        <v/>
      </c>
      <c r="R52" s="782">
        <f>+$E51*R122</f>
        <v/>
      </c>
      <c r="S52" s="782">
        <f>+$E51*S122</f>
        <v/>
      </c>
      <c r="T52" s="782">
        <f>SUM(H51:S51)</f>
        <v/>
      </c>
      <c r="U52" s="686" t="n"/>
      <c r="V52" s="782">
        <f>+$E51*V122</f>
        <v/>
      </c>
      <c r="W52" s="782">
        <f>+$E51*W122</f>
        <v/>
      </c>
      <c r="X52" s="782">
        <f>+$E51*X122</f>
        <v/>
      </c>
      <c r="Y52" s="782">
        <f>+$E51*Y122</f>
        <v/>
      </c>
      <c r="Z52" s="782">
        <f>+$E51*Z122</f>
        <v/>
      </c>
      <c r="AA52" s="782">
        <f>+$E51*AA122</f>
        <v/>
      </c>
      <c r="AB52" s="782">
        <f>+$E51*AB122</f>
        <v/>
      </c>
      <c r="AC52" s="782">
        <f>+$E51*AC122</f>
        <v/>
      </c>
      <c r="AD52" s="782">
        <f>+$E51*AD122</f>
        <v/>
      </c>
      <c r="AE52" s="782">
        <f>+$E51*AE122</f>
        <v/>
      </c>
      <c r="AF52" s="782">
        <f>+$E51*AF122</f>
        <v/>
      </c>
      <c r="AG52" s="782">
        <f>+$E51*AG122</f>
        <v/>
      </c>
      <c r="AH52" s="782">
        <f>SUM(V51:AG51)</f>
        <v/>
      </c>
      <c r="AI52" s="686" t="n"/>
      <c r="AJ52" s="782">
        <f>+AH51+T51</f>
        <v/>
      </c>
      <c r="AK52" s="686" t="n"/>
      <c r="AL52" s="686" t="n"/>
      <c r="AM52" s="686" t="n"/>
      <c r="AN52" s="686" t="n"/>
      <c r="AO52" s="686" t="n"/>
    </row>
    <row r="53" outlineLevel="1" ht="14" customHeight="1" s="549">
      <c r="A53" s="681" t="n"/>
      <c r="B53" s="681" t="inlineStr">
        <is>
          <t xml:space="preserve">Boleta </t>
        </is>
      </c>
      <c r="C53" s="783" t="inlineStr">
        <is>
          <t>8.3</t>
        </is>
      </c>
      <c r="D53" s="784" t="inlineStr">
        <is>
          <t>Alimentación</t>
        </is>
      </c>
      <c r="E53" s="785">
        <f>+Supuestos!G55</f>
        <v/>
      </c>
      <c r="F53" s="784">
        <f>+F123</f>
        <v/>
      </c>
      <c r="G53" s="681" t="n"/>
      <c r="H53" s="787">
        <f>+$E52*H123</f>
        <v/>
      </c>
      <c r="I53" s="787">
        <f>+$E52*I123</f>
        <v/>
      </c>
      <c r="J53" s="787">
        <f>+$E52*J123</f>
        <v/>
      </c>
      <c r="K53" s="787">
        <f>+$E52*K123</f>
        <v/>
      </c>
      <c r="L53" s="787">
        <f>+$E52*L123</f>
        <v/>
      </c>
      <c r="M53" s="787">
        <f>+$E52*M123</f>
        <v/>
      </c>
      <c r="N53" s="787">
        <f>+$E52*N123</f>
        <v/>
      </c>
      <c r="O53" s="787">
        <f>+$E52*O123</f>
        <v/>
      </c>
      <c r="P53" s="787">
        <f>+$E52*P123</f>
        <v/>
      </c>
      <c r="Q53" s="787">
        <f>+$E52*Q123</f>
        <v/>
      </c>
      <c r="R53" s="787">
        <f>+$E52*R123</f>
        <v/>
      </c>
      <c r="S53" s="787">
        <f>+$E52*S123</f>
        <v/>
      </c>
      <c r="T53" s="787">
        <f>SUM(H52:S52)</f>
        <v/>
      </c>
      <c r="U53" s="681" t="n"/>
      <c r="V53" s="787">
        <f>+$E52*V123</f>
        <v/>
      </c>
      <c r="W53" s="787">
        <f>+$E52*W123</f>
        <v/>
      </c>
      <c r="X53" s="787">
        <f>+$E52*X123</f>
        <v/>
      </c>
      <c r="Y53" s="787">
        <f>+$E52*Y123</f>
        <v/>
      </c>
      <c r="Z53" s="787">
        <f>+$E52*Z123</f>
        <v/>
      </c>
      <c r="AA53" s="787">
        <f>+$E52*AA123</f>
        <v/>
      </c>
      <c r="AB53" s="787">
        <f>+$E52*AB123</f>
        <v/>
      </c>
      <c r="AC53" s="787">
        <f>+$E52*AC123</f>
        <v/>
      </c>
      <c r="AD53" s="787">
        <f>+$E52*AD123</f>
        <v/>
      </c>
      <c r="AE53" s="787">
        <f>+$E52*AE123</f>
        <v/>
      </c>
      <c r="AF53" s="787">
        <f>+$E52*AF123</f>
        <v/>
      </c>
      <c r="AG53" s="787">
        <f>+$E52*AG123</f>
        <v/>
      </c>
      <c r="AH53" s="787">
        <f>SUM(V52:AG52)</f>
        <v/>
      </c>
      <c r="AI53" s="681" t="n"/>
      <c r="AJ53" s="787">
        <f>+AH52+T52</f>
        <v/>
      </c>
      <c r="AK53" s="681" t="n"/>
      <c r="AL53" s="681" t="n"/>
      <c r="AM53" s="681" t="n"/>
      <c r="AN53" s="681" t="n"/>
      <c r="AO53" s="681" t="n"/>
    </row>
    <row r="54" outlineLevel="1" ht="14" customHeight="1" s="549">
      <c r="A54" s="686" t="n"/>
      <c r="B54" s="686" t="inlineStr">
        <is>
          <t xml:space="preserve">Factura o Boleta </t>
        </is>
      </c>
      <c r="C54" s="788" t="inlineStr">
        <is>
          <t>8.4</t>
        </is>
      </c>
      <c r="D54" s="789" t="inlineStr">
        <is>
          <t>Combustible arriendo diario</t>
        </is>
      </c>
      <c r="E54" s="790">
        <f>+Supuestos!G56</f>
        <v/>
      </c>
      <c r="F54" s="789">
        <f>+F124</f>
        <v/>
      </c>
      <c r="G54" s="686" t="n"/>
      <c r="H54" s="782">
        <f>+$E53*H124</f>
        <v/>
      </c>
      <c r="I54" s="782">
        <f>+$E53*I124</f>
        <v/>
      </c>
      <c r="J54" s="782">
        <f>+$E53*J124</f>
        <v/>
      </c>
      <c r="K54" s="782">
        <f>+$E53*K124</f>
        <v/>
      </c>
      <c r="L54" s="782">
        <f>+$E53*L124</f>
        <v/>
      </c>
      <c r="M54" s="782">
        <f>+$E53*M124</f>
        <v/>
      </c>
      <c r="N54" s="782">
        <f>+$E53*N124</f>
        <v/>
      </c>
      <c r="O54" s="782">
        <f>+$E53*O124</f>
        <v/>
      </c>
      <c r="P54" s="782">
        <f>+$E53*P124</f>
        <v/>
      </c>
      <c r="Q54" s="782">
        <f>+$E53*Q124</f>
        <v/>
      </c>
      <c r="R54" s="782">
        <f>+$E53*R124</f>
        <v/>
      </c>
      <c r="S54" s="782">
        <f>+$E53*S124</f>
        <v/>
      </c>
      <c r="T54" s="782">
        <f>SUM(H53:S53)</f>
        <v/>
      </c>
      <c r="U54" s="686" t="n"/>
      <c r="V54" s="782">
        <f>+$E53*V124</f>
        <v/>
      </c>
      <c r="W54" s="782">
        <f>+$E53*W124</f>
        <v/>
      </c>
      <c r="X54" s="782">
        <f>+$E53*X124</f>
        <v/>
      </c>
      <c r="Y54" s="782">
        <f>+$E53*Y124</f>
        <v/>
      </c>
      <c r="Z54" s="782">
        <f>+$E53*Z124</f>
        <v/>
      </c>
      <c r="AA54" s="782">
        <f>+$E53*AA124</f>
        <v/>
      </c>
      <c r="AB54" s="782">
        <f>+$E53*AB124</f>
        <v/>
      </c>
      <c r="AC54" s="782">
        <f>+$E53*AC124</f>
        <v/>
      </c>
      <c r="AD54" s="782">
        <f>+$E53*AD124</f>
        <v/>
      </c>
      <c r="AE54" s="782">
        <f>+$E53*AE124</f>
        <v/>
      </c>
      <c r="AF54" s="782">
        <f>+$E53*AF124</f>
        <v/>
      </c>
      <c r="AG54" s="782">
        <f>+$E53*AG124</f>
        <v/>
      </c>
      <c r="AH54" s="782">
        <f>SUM(V53:AG53)</f>
        <v/>
      </c>
      <c r="AI54" s="686" t="n"/>
      <c r="AJ54" s="782">
        <f>+AH53+T53</f>
        <v/>
      </c>
      <c r="AK54" s="686" t="n"/>
      <c r="AL54" s="686" t="n"/>
      <c r="AM54" s="686" t="n"/>
      <c r="AN54" s="686" t="n"/>
      <c r="AO54" s="686" t="n"/>
    </row>
    <row r="55" outlineLevel="1" ht="14" customHeight="1" s="549">
      <c r="A55" s="681" t="n"/>
      <c r="B55" s="681" t="inlineStr">
        <is>
          <t xml:space="preserve">Factura o Boleta </t>
        </is>
      </c>
      <c r="C55" s="783" t="inlineStr">
        <is>
          <t>8.5</t>
        </is>
      </c>
      <c r="D55" s="784" t="inlineStr">
        <is>
          <t>Combustible arriendo mensual</t>
        </is>
      </c>
      <c r="E55" s="785">
        <f>+Supuestos!G57</f>
        <v/>
      </c>
      <c r="F55" s="784">
        <f>+F125</f>
        <v/>
      </c>
      <c r="G55" s="681" t="n"/>
      <c r="H55" s="787">
        <f>+$E54*H125</f>
        <v/>
      </c>
      <c r="I55" s="787">
        <f>+$E54*I125</f>
        <v/>
      </c>
      <c r="J55" s="787">
        <f>+$E54*J125</f>
        <v/>
      </c>
      <c r="K55" s="787">
        <f>+$E54*K125</f>
        <v/>
      </c>
      <c r="L55" s="787">
        <f>+$E54*L125</f>
        <v/>
      </c>
      <c r="M55" s="787">
        <f>+$E54*M125</f>
        <v/>
      </c>
      <c r="N55" s="787">
        <f>+$E54*N125</f>
        <v/>
      </c>
      <c r="O55" s="787">
        <f>+$E54*O125</f>
        <v/>
      </c>
      <c r="P55" s="787">
        <f>+$E54*P125</f>
        <v/>
      </c>
      <c r="Q55" s="787">
        <f>+$E54*Q125</f>
        <v/>
      </c>
      <c r="R55" s="787">
        <f>+$E54*R125</f>
        <v/>
      </c>
      <c r="S55" s="787">
        <f>+$E54*S125</f>
        <v/>
      </c>
      <c r="T55" s="787">
        <f>SUM(H54:S54)</f>
        <v/>
      </c>
      <c r="U55" s="681" t="n"/>
      <c r="V55" s="787">
        <f>+$E54*V125</f>
        <v/>
      </c>
      <c r="W55" s="787">
        <f>+$E54*W125</f>
        <v/>
      </c>
      <c r="X55" s="787">
        <f>+$E54*X125</f>
        <v/>
      </c>
      <c r="Y55" s="787">
        <f>+$E54*Y125</f>
        <v/>
      </c>
      <c r="Z55" s="787">
        <f>+$E54*Z125</f>
        <v/>
      </c>
      <c r="AA55" s="787">
        <f>+$E54*AA125</f>
        <v/>
      </c>
      <c r="AB55" s="787">
        <f>+$E54*AB125</f>
        <v/>
      </c>
      <c r="AC55" s="787">
        <f>+$E54*AC125</f>
        <v/>
      </c>
      <c r="AD55" s="787">
        <f>+$E54*AD125</f>
        <v/>
      </c>
      <c r="AE55" s="787">
        <f>+$E54*AE125</f>
        <v/>
      </c>
      <c r="AF55" s="787">
        <f>+$E54*AF125</f>
        <v/>
      </c>
      <c r="AG55" s="787">
        <f>+$E54*AG125</f>
        <v/>
      </c>
      <c r="AH55" s="787">
        <f>SUM(V54:AG54)</f>
        <v/>
      </c>
      <c r="AI55" s="681" t="n"/>
      <c r="AJ55" s="787">
        <f>+AH54+T54</f>
        <v/>
      </c>
      <c r="AK55" s="681" t="n"/>
      <c r="AL55" s="681" t="n"/>
      <c r="AM55" s="681" t="n"/>
      <c r="AN55" s="681" t="n"/>
      <c r="AO55" s="681" t="n"/>
    </row>
    <row r="56" ht="14" customHeight="1" s="549">
      <c r="A56" s="686" t="n"/>
      <c r="B56" s="686" t="inlineStr">
        <is>
          <t xml:space="preserve">Boleta </t>
        </is>
      </c>
      <c r="C56" s="788" t="inlineStr">
        <is>
          <t>8.6</t>
        </is>
      </c>
      <c r="D56" s="789" t="inlineStr">
        <is>
          <t>Peajes</t>
        </is>
      </c>
      <c r="E56" s="790">
        <f>+Supuestos!G58</f>
        <v/>
      </c>
      <c r="F56" s="789">
        <f>+F126</f>
        <v/>
      </c>
      <c r="G56" s="686" t="n"/>
      <c r="H56" s="782">
        <f>+$E55*H126</f>
        <v/>
      </c>
      <c r="I56" s="782">
        <f>+$E55*I126</f>
        <v/>
      </c>
      <c r="J56" s="782">
        <f>+$E55*J126</f>
        <v/>
      </c>
      <c r="K56" s="782">
        <f>+$E55*K126</f>
        <v/>
      </c>
      <c r="L56" s="782">
        <f>+$E55*L126</f>
        <v/>
      </c>
      <c r="M56" s="782">
        <f>+$E55*M126</f>
        <v/>
      </c>
      <c r="N56" s="782">
        <f>+$E55*N126</f>
        <v/>
      </c>
      <c r="O56" s="782">
        <f>+$E55*O126</f>
        <v/>
      </c>
      <c r="P56" s="782">
        <f>+$E55*P126</f>
        <v/>
      </c>
      <c r="Q56" s="782">
        <f>+$E55*Q126</f>
        <v/>
      </c>
      <c r="R56" s="782">
        <f>+$E55*R126</f>
        <v/>
      </c>
      <c r="S56" s="782">
        <f>+$E55*S126</f>
        <v/>
      </c>
      <c r="T56" s="782">
        <f>SUM(H55:S55)</f>
        <v/>
      </c>
      <c r="U56" s="686" t="n"/>
      <c r="V56" s="782">
        <f>+$E55*V126</f>
        <v/>
      </c>
      <c r="W56" s="782">
        <f>+$E55*W126</f>
        <v/>
      </c>
      <c r="X56" s="782">
        <f>+$E55*X126</f>
        <v/>
      </c>
      <c r="Y56" s="782">
        <f>+$E55*Y126</f>
        <v/>
      </c>
      <c r="Z56" s="782">
        <f>+$E55*Z126</f>
        <v/>
      </c>
      <c r="AA56" s="782">
        <f>+$E55*AA126</f>
        <v/>
      </c>
      <c r="AB56" s="782">
        <f>+$E55*AB126</f>
        <v/>
      </c>
      <c r="AC56" s="782">
        <f>+$E55*AC126</f>
        <v/>
      </c>
      <c r="AD56" s="782">
        <f>+$E55*AD126</f>
        <v/>
      </c>
      <c r="AE56" s="782">
        <f>+$E55*AE126</f>
        <v/>
      </c>
      <c r="AF56" s="782">
        <f>+$E55*AF126</f>
        <v/>
      </c>
      <c r="AG56" s="782">
        <f>+$E55*AG126</f>
        <v/>
      </c>
      <c r="AH56" s="782">
        <f>SUM(V55:AG55)</f>
        <v/>
      </c>
      <c r="AI56" s="686" t="n"/>
      <c r="AJ56" s="782">
        <f>+AH55+T55</f>
        <v/>
      </c>
      <c r="AK56" s="686" t="n"/>
      <c r="AL56" s="686" t="n"/>
      <c r="AM56" s="686" t="n"/>
      <c r="AN56" s="686" t="n"/>
      <c r="AO56" s="686" t="n"/>
    </row>
    <row r="57" outlineLevel="1" ht="14" customHeight="1" s="549">
      <c r="A57" s="681" t="n"/>
      <c r="B57" s="681" t="n"/>
      <c r="C57" s="712" t="inlineStr">
        <is>
          <t>9.</t>
        </is>
      </c>
      <c r="D57" s="688" t="inlineStr">
        <is>
          <t>Viajes Gestión Técnica</t>
        </is>
      </c>
      <c r="E57" s="792">
        <f>+Supuestos!E59</f>
        <v/>
      </c>
      <c r="F57" s="688">
        <f>+F127</f>
        <v/>
      </c>
      <c r="G57" s="681" t="n"/>
      <c r="H57" s="787">
        <f>+SUM(H57:H62)</f>
        <v/>
      </c>
      <c r="I57" s="787">
        <f>+SUM(I57:I62)</f>
        <v/>
      </c>
      <c r="J57" s="787">
        <f>+SUM(J57:J62)</f>
        <v/>
      </c>
      <c r="K57" s="787">
        <f>+SUM(K57:K62)</f>
        <v/>
      </c>
      <c r="L57" s="787">
        <f>+SUM(L57:L62)</f>
        <v/>
      </c>
      <c r="M57" s="787">
        <f>+SUM(M57:M62)</f>
        <v/>
      </c>
      <c r="N57" s="787">
        <f>+SUM(N57:N62)</f>
        <v/>
      </c>
      <c r="O57" s="787">
        <f>+SUM(O57:O62)</f>
        <v/>
      </c>
      <c r="P57" s="787">
        <f>+SUM(P57:P62)</f>
        <v/>
      </c>
      <c r="Q57" s="787">
        <f>+SUM(Q57:Q62)</f>
        <v/>
      </c>
      <c r="R57" s="787">
        <f>+SUM(R57:R62)</f>
        <v/>
      </c>
      <c r="S57" s="787">
        <f>+SUM(S57:S62)</f>
        <v/>
      </c>
      <c r="T57" s="787">
        <f>SUM(H56:S56)</f>
        <v/>
      </c>
      <c r="U57" s="681" t="n"/>
      <c r="V57" s="787">
        <f>+SUM(V57:V62)</f>
        <v/>
      </c>
      <c r="W57" s="787">
        <f>+SUM(W57:W62)</f>
        <v/>
      </c>
      <c r="X57" s="787">
        <f>+SUM(X57:X62)</f>
        <v/>
      </c>
      <c r="Y57" s="787">
        <f>+SUM(Y57:Y62)</f>
        <v/>
      </c>
      <c r="Z57" s="787">
        <f>+SUM(Z57:Z62)</f>
        <v/>
      </c>
      <c r="AA57" s="787">
        <f>+SUM(AA57:AA62)</f>
        <v/>
      </c>
      <c r="AB57" s="787">
        <f>+SUM(AB57:AB62)</f>
        <v/>
      </c>
      <c r="AC57" s="787">
        <f>+SUM(AC57:AC62)</f>
        <v/>
      </c>
      <c r="AD57" s="787">
        <f>+SUM(AD57:AD62)</f>
        <v/>
      </c>
      <c r="AE57" s="787">
        <f>+SUM(AE57:AE62)</f>
        <v/>
      </c>
      <c r="AF57" s="787">
        <f>+SUM(AF57:AF62)</f>
        <v/>
      </c>
      <c r="AG57" s="787">
        <f>+SUM(AG57:AG62)</f>
        <v/>
      </c>
      <c r="AH57" s="787">
        <f>SUM(V56:AG56)</f>
        <v/>
      </c>
      <c r="AI57" s="681" t="n"/>
      <c r="AJ57" s="787">
        <f>+AH56+T56</f>
        <v/>
      </c>
      <c r="AK57" s="681" t="n"/>
      <c r="AL57" s="681" t="n"/>
      <c r="AM57" s="681" t="n"/>
      <c r="AN57" s="681" t="n"/>
      <c r="AO57" s="681" t="n"/>
    </row>
    <row r="58" outlineLevel="1" ht="14" customHeight="1" s="549">
      <c r="A58" s="686" t="n"/>
      <c r="B58" s="686" t="inlineStr">
        <is>
          <t>Factura</t>
        </is>
      </c>
      <c r="C58" s="788" t="inlineStr">
        <is>
          <t>9.1</t>
        </is>
      </c>
      <c r="D58" s="789" t="inlineStr">
        <is>
          <t>Traslados de personal</t>
        </is>
      </c>
      <c r="E58" s="790">
        <f>+Supuestos!G60</f>
        <v/>
      </c>
      <c r="F58" s="789">
        <f>+F128</f>
        <v/>
      </c>
      <c r="G58" s="686" t="n"/>
      <c r="H58" s="782">
        <f>+$E57*H128</f>
        <v/>
      </c>
      <c r="I58" s="782">
        <f>+$E57*I128</f>
        <v/>
      </c>
      <c r="J58" s="782">
        <f>+$E57*J128</f>
        <v/>
      </c>
      <c r="K58" s="782">
        <f>+$E57*K128</f>
        <v/>
      </c>
      <c r="L58" s="782">
        <f>+$E57*L128</f>
        <v/>
      </c>
      <c r="M58" s="782">
        <f>+$E57*M128</f>
        <v/>
      </c>
      <c r="N58" s="782">
        <f>+$E57*N128</f>
        <v/>
      </c>
      <c r="O58" s="782">
        <f>+$E57*O128</f>
        <v/>
      </c>
      <c r="P58" s="782">
        <f>+$E57*P128</f>
        <v/>
      </c>
      <c r="Q58" s="782">
        <f>+$E57*Q128</f>
        <v/>
      </c>
      <c r="R58" s="782">
        <f>+$E57*R128</f>
        <v/>
      </c>
      <c r="S58" s="782">
        <f>+$E57*S128</f>
        <v/>
      </c>
      <c r="T58" s="782">
        <f>SUM(H57:S57)</f>
        <v/>
      </c>
      <c r="U58" s="686" t="n"/>
      <c r="V58" s="782">
        <f>+$E57*V128</f>
        <v/>
      </c>
      <c r="W58" s="782">
        <f>+$E57*W128</f>
        <v/>
      </c>
      <c r="X58" s="782">
        <f>+$E57*X128</f>
        <v/>
      </c>
      <c r="Y58" s="782">
        <f>+$E57*Y128</f>
        <v/>
      </c>
      <c r="Z58" s="782">
        <f>+$E57*Z128</f>
        <v/>
      </c>
      <c r="AA58" s="782">
        <f>+$E57*AA128</f>
        <v/>
      </c>
      <c r="AB58" s="782">
        <f>+$E57*AB128</f>
        <v/>
      </c>
      <c r="AC58" s="782">
        <f>+$E57*AC128</f>
        <v/>
      </c>
      <c r="AD58" s="782">
        <f>+$E57*AD128</f>
        <v/>
      </c>
      <c r="AE58" s="782">
        <f>+$E57*AE128</f>
        <v/>
      </c>
      <c r="AF58" s="782">
        <f>+$E57*AF128</f>
        <v/>
      </c>
      <c r="AG58" s="782">
        <f>+$E57*AG128</f>
        <v/>
      </c>
      <c r="AH58" s="782">
        <f>SUM(V57:AG57)</f>
        <v/>
      </c>
      <c r="AI58" s="686" t="n"/>
      <c r="AJ58" s="782">
        <f>+AH57+T57</f>
        <v/>
      </c>
      <c r="AK58" s="686" t="n"/>
      <c r="AL58" s="686" t="n"/>
      <c r="AM58" s="686" t="n"/>
      <c r="AN58" s="686" t="n"/>
      <c r="AO58" s="686" t="n"/>
    </row>
    <row r="59" outlineLevel="1" ht="14" customHeight="1" s="549">
      <c r="A59" s="681" t="n"/>
      <c r="B59" s="681" t="inlineStr">
        <is>
          <t xml:space="preserve">Factura o Boleta </t>
        </is>
      </c>
      <c r="C59" s="783" t="inlineStr">
        <is>
          <t>9.2</t>
        </is>
      </c>
      <c r="D59" s="784" t="inlineStr">
        <is>
          <t>Alojamiento</t>
        </is>
      </c>
      <c r="E59" s="785">
        <f>+Supuestos!G61</f>
        <v/>
      </c>
      <c r="F59" s="784">
        <f>+F129</f>
        <v/>
      </c>
      <c r="G59" s="681" t="n"/>
      <c r="H59" s="787">
        <f>+$E58*H129</f>
        <v/>
      </c>
      <c r="I59" s="787">
        <f>+$E58*I129</f>
        <v/>
      </c>
      <c r="J59" s="787">
        <f>+$E58*J129</f>
        <v/>
      </c>
      <c r="K59" s="787">
        <f>+$E58*K129</f>
        <v/>
      </c>
      <c r="L59" s="787">
        <f>+$E58*L129</f>
        <v/>
      </c>
      <c r="M59" s="787">
        <f>+$E58*M129</f>
        <v/>
      </c>
      <c r="N59" s="787">
        <f>+$E58*N129</f>
        <v/>
      </c>
      <c r="O59" s="787">
        <f>+$E58*O129</f>
        <v/>
      </c>
      <c r="P59" s="787">
        <f>+$E58*P129</f>
        <v/>
      </c>
      <c r="Q59" s="787">
        <f>+$E58*Q129</f>
        <v/>
      </c>
      <c r="R59" s="787">
        <f>+$E58*R129</f>
        <v/>
      </c>
      <c r="S59" s="787">
        <f>+$E58*S129</f>
        <v/>
      </c>
      <c r="T59" s="787">
        <f>SUM(H58:S58)</f>
        <v/>
      </c>
      <c r="U59" s="681" t="n"/>
      <c r="V59" s="787">
        <f>+$E58*V129</f>
        <v/>
      </c>
      <c r="W59" s="787">
        <f>+$E58*W129</f>
        <v/>
      </c>
      <c r="X59" s="787">
        <f>+$E58*X129</f>
        <v/>
      </c>
      <c r="Y59" s="787">
        <f>+$E58*Y129</f>
        <v/>
      </c>
      <c r="Z59" s="787">
        <f>+$E58*Z129</f>
        <v/>
      </c>
      <c r="AA59" s="787">
        <f>+$E58*AA129</f>
        <v/>
      </c>
      <c r="AB59" s="787">
        <f>+$E58*AB129</f>
        <v/>
      </c>
      <c r="AC59" s="787">
        <f>+$E58*AC129</f>
        <v/>
      </c>
      <c r="AD59" s="787">
        <f>+$E58*AD129</f>
        <v/>
      </c>
      <c r="AE59" s="787">
        <f>+$E58*AE129</f>
        <v/>
      </c>
      <c r="AF59" s="787">
        <f>+$E58*AF129</f>
        <v/>
      </c>
      <c r="AG59" s="787">
        <f>+$E58*AG129</f>
        <v/>
      </c>
      <c r="AH59" s="787">
        <f>SUM(V58:AG58)</f>
        <v/>
      </c>
      <c r="AI59" s="681" t="n"/>
      <c r="AJ59" s="787">
        <f>+AH58+T58</f>
        <v/>
      </c>
      <c r="AK59" s="681" t="n"/>
      <c r="AL59" s="681" t="n"/>
      <c r="AM59" s="681" t="n"/>
      <c r="AN59" s="681" t="n"/>
      <c r="AO59" s="681" t="n"/>
    </row>
    <row r="60" outlineLevel="1" ht="14" customHeight="1" s="549">
      <c r="A60" s="686" t="n"/>
      <c r="B60" s="686" t="inlineStr">
        <is>
          <t xml:space="preserve">Boleta </t>
        </is>
      </c>
      <c r="C60" s="788" t="inlineStr">
        <is>
          <t>9.3</t>
        </is>
      </c>
      <c r="D60" s="789" t="inlineStr">
        <is>
          <t>Alimentación</t>
        </is>
      </c>
      <c r="E60" s="790">
        <f>+Supuestos!G62</f>
        <v/>
      </c>
      <c r="F60" s="789">
        <f>+F130</f>
        <v/>
      </c>
      <c r="G60" s="686" t="n"/>
      <c r="H60" s="782">
        <f>+$E59*H130</f>
        <v/>
      </c>
      <c r="I60" s="782">
        <f>+$E59*I130</f>
        <v/>
      </c>
      <c r="J60" s="782">
        <f>+$E59*J130</f>
        <v/>
      </c>
      <c r="K60" s="782">
        <f>+$E59*K130</f>
        <v/>
      </c>
      <c r="L60" s="782">
        <f>+$E59*L130</f>
        <v/>
      </c>
      <c r="M60" s="782">
        <f>+$E59*M130</f>
        <v/>
      </c>
      <c r="N60" s="782">
        <f>+$E59*N130</f>
        <v/>
      </c>
      <c r="O60" s="782">
        <f>+$E59*O130</f>
        <v/>
      </c>
      <c r="P60" s="782">
        <f>+$E59*P130</f>
        <v/>
      </c>
      <c r="Q60" s="782">
        <f>+$E59*Q130</f>
        <v/>
      </c>
      <c r="R60" s="782">
        <f>+$E59*R130</f>
        <v/>
      </c>
      <c r="S60" s="782">
        <f>+$E59*S130</f>
        <v/>
      </c>
      <c r="T60" s="782">
        <f>SUM(H59:S59)</f>
        <v/>
      </c>
      <c r="U60" s="686" t="n"/>
      <c r="V60" s="782">
        <f>+$E59*V130</f>
        <v/>
      </c>
      <c r="W60" s="782">
        <f>+$E59*W130</f>
        <v/>
      </c>
      <c r="X60" s="782">
        <f>+$E59*X130</f>
        <v/>
      </c>
      <c r="Y60" s="782">
        <f>+$E59*Y130</f>
        <v/>
      </c>
      <c r="Z60" s="782">
        <f>+$E59*Z130</f>
        <v/>
      </c>
      <c r="AA60" s="782">
        <f>+$E59*AA130</f>
        <v/>
      </c>
      <c r="AB60" s="782">
        <f>+$E59*AB130</f>
        <v/>
      </c>
      <c r="AC60" s="782">
        <f>+$E59*AC130</f>
        <v/>
      </c>
      <c r="AD60" s="782">
        <f>+$E59*AD130</f>
        <v/>
      </c>
      <c r="AE60" s="782">
        <f>+$E59*AE130</f>
        <v/>
      </c>
      <c r="AF60" s="782">
        <f>+$E59*AF130</f>
        <v/>
      </c>
      <c r="AG60" s="782">
        <f>+$E59*AG130</f>
        <v/>
      </c>
      <c r="AH60" s="782">
        <f>SUM(V59:AG59)</f>
        <v/>
      </c>
      <c r="AI60" s="686" t="n"/>
      <c r="AJ60" s="782">
        <f>+AH59+T59</f>
        <v/>
      </c>
      <c r="AK60" s="686" t="n"/>
      <c r="AL60" s="686" t="n"/>
      <c r="AM60" s="686" t="n"/>
      <c r="AN60" s="686" t="n"/>
      <c r="AO60" s="686" t="n"/>
    </row>
    <row r="61" outlineLevel="1" ht="14" customHeight="1" s="549">
      <c r="A61" s="681" t="n"/>
      <c r="B61" s="681" t="inlineStr">
        <is>
          <t xml:space="preserve">Factura o Boleta </t>
        </is>
      </c>
      <c r="C61" s="783" t="inlineStr">
        <is>
          <t>9.4</t>
        </is>
      </c>
      <c r="D61" s="784" t="inlineStr">
        <is>
          <t>Combustible arriendo diario</t>
        </is>
      </c>
      <c r="E61" s="785">
        <f>+Supuestos!G63</f>
        <v/>
      </c>
      <c r="F61" s="784">
        <f>+F131</f>
        <v/>
      </c>
      <c r="G61" s="681" t="n"/>
      <c r="H61" s="787">
        <f>+$E60*H131</f>
        <v/>
      </c>
      <c r="I61" s="787">
        <f>+$E60*I131</f>
        <v/>
      </c>
      <c r="J61" s="787">
        <f>+$E60*J131</f>
        <v/>
      </c>
      <c r="K61" s="787">
        <f>+$E60*K131</f>
        <v/>
      </c>
      <c r="L61" s="787">
        <f>+$E60*L131</f>
        <v/>
      </c>
      <c r="M61" s="787">
        <f>+$E60*M131</f>
        <v/>
      </c>
      <c r="N61" s="787">
        <f>+$E60*N131</f>
        <v/>
      </c>
      <c r="O61" s="787">
        <f>+$E60*O131</f>
        <v/>
      </c>
      <c r="P61" s="787">
        <f>+$E60*P131</f>
        <v/>
      </c>
      <c r="Q61" s="787">
        <f>+$E60*Q131</f>
        <v/>
      </c>
      <c r="R61" s="787">
        <f>+$E60*R131</f>
        <v/>
      </c>
      <c r="S61" s="787">
        <f>+$E60*S131</f>
        <v/>
      </c>
      <c r="T61" s="787">
        <f>SUM(H60:S60)</f>
        <v/>
      </c>
      <c r="U61" s="681" t="n"/>
      <c r="V61" s="787">
        <f>+$E60*V131</f>
        <v/>
      </c>
      <c r="W61" s="787">
        <f>+$E60*W131</f>
        <v/>
      </c>
      <c r="X61" s="787">
        <f>+$E60*X131</f>
        <v/>
      </c>
      <c r="Y61" s="787">
        <f>+$E60*Y131</f>
        <v/>
      </c>
      <c r="Z61" s="787">
        <f>+$E60*Z131</f>
        <v/>
      </c>
      <c r="AA61" s="787">
        <f>+$E60*AA131</f>
        <v/>
      </c>
      <c r="AB61" s="787">
        <f>+$E60*AB131</f>
        <v/>
      </c>
      <c r="AC61" s="787">
        <f>+$E60*AC131</f>
        <v/>
      </c>
      <c r="AD61" s="787">
        <f>+$E60*AD131</f>
        <v/>
      </c>
      <c r="AE61" s="787">
        <f>+$E60*AE131</f>
        <v/>
      </c>
      <c r="AF61" s="787">
        <f>+$E60*AF131</f>
        <v/>
      </c>
      <c r="AG61" s="787">
        <f>+$E60*AG131</f>
        <v/>
      </c>
      <c r="AH61" s="787">
        <f>SUM(V60:AG60)</f>
        <v/>
      </c>
      <c r="AI61" s="681" t="n"/>
      <c r="AJ61" s="787">
        <f>+AH60+T60</f>
        <v/>
      </c>
      <c r="AK61" s="681" t="n"/>
      <c r="AL61" s="681" t="n"/>
      <c r="AM61" s="681" t="n"/>
      <c r="AN61" s="681" t="n"/>
      <c r="AO61" s="681" t="n"/>
    </row>
    <row r="62" outlineLevel="1" ht="14" customHeight="1" s="549">
      <c r="A62" s="686" t="n"/>
      <c r="B62" s="686" t="inlineStr">
        <is>
          <t xml:space="preserve">Factura o Boleta </t>
        </is>
      </c>
      <c r="C62" s="788" t="inlineStr">
        <is>
          <t>9.5</t>
        </is>
      </c>
      <c r="D62" s="789" t="inlineStr">
        <is>
          <t>Combustible arriendo mensual</t>
        </is>
      </c>
      <c r="E62" s="790">
        <f>+Supuestos!G64</f>
        <v/>
      </c>
      <c r="F62" s="789">
        <f>+F132</f>
        <v/>
      </c>
      <c r="G62" s="686" t="n"/>
      <c r="H62" s="782">
        <f>+$E61*H132</f>
        <v/>
      </c>
      <c r="I62" s="782">
        <f>+$E61*I132</f>
        <v/>
      </c>
      <c r="J62" s="782">
        <f>+$E61*J132</f>
        <v/>
      </c>
      <c r="K62" s="782">
        <f>+$E61*K132</f>
        <v/>
      </c>
      <c r="L62" s="782">
        <f>+$E61*L132</f>
        <v/>
      </c>
      <c r="M62" s="782">
        <f>+$E61*M132</f>
        <v/>
      </c>
      <c r="N62" s="782">
        <f>+$E61*N132</f>
        <v/>
      </c>
      <c r="O62" s="782">
        <f>+$E61*O132</f>
        <v/>
      </c>
      <c r="P62" s="782">
        <f>+$E61*P132</f>
        <v/>
      </c>
      <c r="Q62" s="782">
        <f>+$E61*Q132</f>
        <v/>
      </c>
      <c r="R62" s="782">
        <f>+$E61*R132</f>
        <v/>
      </c>
      <c r="S62" s="782">
        <f>+$E61*S132</f>
        <v/>
      </c>
      <c r="T62" s="782">
        <f>SUM(H61:S61)</f>
        <v/>
      </c>
      <c r="U62" s="686" t="n"/>
      <c r="V62" s="782">
        <f>+$E61*V132</f>
        <v/>
      </c>
      <c r="W62" s="782">
        <f>+$E61*W132</f>
        <v/>
      </c>
      <c r="X62" s="782">
        <f>+$E61*X132</f>
        <v/>
      </c>
      <c r="Y62" s="782">
        <f>+$E61*Y132</f>
        <v/>
      </c>
      <c r="Z62" s="782">
        <f>+$E61*Z132</f>
        <v/>
      </c>
      <c r="AA62" s="782">
        <f>+$E61*AA132</f>
        <v/>
      </c>
      <c r="AB62" s="782">
        <f>+$E61*AB132</f>
        <v/>
      </c>
      <c r="AC62" s="782">
        <f>+$E61*AC132</f>
        <v/>
      </c>
      <c r="AD62" s="782">
        <f>+$E61*AD132</f>
        <v/>
      </c>
      <c r="AE62" s="782">
        <f>+$E61*AE132</f>
        <v/>
      </c>
      <c r="AF62" s="782">
        <f>+$E61*AF132</f>
        <v/>
      </c>
      <c r="AG62" s="782">
        <f>+$E61*AG132</f>
        <v/>
      </c>
      <c r="AH62" s="782">
        <f>SUM(V61:AG61)</f>
        <v/>
      </c>
      <c r="AI62" s="686" t="n"/>
      <c r="AJ62" s="782">
        <f>+AH61+T61</f>
        <v/>
      </c>
      <c r="AK62" s="686" t="n"/>
      <c r="AL62" s="686" t="n"/>
      <c r="AM62" s="686" t="n"/>
      <c r="AN62" s="686" t="n"/>
      <c r="AO62" s="686" t="n"/>
    </row>
    <row r="63" ht="14" customHeight="1" s="549">
      <c r="A63" s="681" t="n"/>
      <c r="B63" s="681" t="inlineStr">
        <is>
          <t xml:space="preserve">Boleta </t>
        </is>
      </c>
      <c r="C63" s="783" t="inlineStr">
        <is>
          <t>9.6</t>
        </is>
      </c>
      <c r="D63" s="784" t="inlineStr">
        <is>
          <t>Peajes</t>
        </is>
      </c>
      <c r="E63" s="785">
        <f>+Supuestos!G65</f>
        <v/>
      </c>
      <c r="F63" s="784">
        <f>+F133</f>
        <v/>
      </c>
      <c r="G63" s="681" t="n"/>
      <c r="H63" s="787">
        <f>+$E62*H133</f>
        <v/>
      </c>
      <c r="I63" s="787">
        <f>+$E62*I133</f>
        <v/>
      </c>
      <c r="J63" s="787">
        <f>+$E62*J133</f>
        <v/>
      </c>
      <c r="K63" s="787">
        <f>+$E62*K133</f>
        <v/>
      </c>
      <c r="L63" s="787">
        <f>+$E62*L133</f>
        <v/>
      </c>
      <c r="M63" s="787">
        <f>+$E62*M133</f>
        <v/>
      </c>
      <c r="N63" s="787">
        <f>+$E62*N133</f>
        <v/>
      </c>
      <c r="O63" s="787">
        <f>+$E62*O133</f>
        <v/>
      </c>
      <c r="P63" s="787">
        <f>+$E62*P133</f>
        <v/>
      </c>
      <c r="Q63" s="787">
        <f>+$E62*Q133</f>
        <v/>
      </c>
      <c r="R63" s="787">
        <f>+$E62*R133</f>
        <v/>
      </c>
      <c r="S63" s="787">
        <f>+$E62*S133</f>
        <v/>
      </c>
      <c r="T63" s="787">
        <f>SUM(H62:S62)</f>
        <v/>
      </c>
      <c r="U63" s="681" t="n"/>
      <c r="V63" s="787">
        <f>+$E62*V133</f>
        <v/>
      </c>
      <c r="W63" s="787">
        <f>+$E62*W133</f>
        <v/>
      </c>
      <c r="X63" s="787">
        <f>+$E62*X133</f>
        <v/>
      </c>
      <c r="Y63" s="787">
        <f>+$E62*Y133</f>
        <v/>
      </c>
      <c r="Z63" s="787">
        <f>+$E62*Z133</f>
        <v/>
      </c>
      <c r="AA63" s="787">
        <f>+$E62*AA133</f>
        <v/>
      </c>
      <c r="AB63" s="787">
        <f>+$E62*AB133</f>
        <v/>
      </c>
      <c r="AC63" s="787">
        <f>+$E62*AC133</f>
        <v/>
      </c>
      <c r="AD63" s="787">
        <f>+$E62*AD133</f>
        <v/>
      </c>
      <c r="AE63" s="787">
        <f>+$E62*AE133</f>
        <v/>
      </c>
      <c r="AF63" s="787">
        <f>+$E62*AF133</f>
        <v/>
      </c>
      <c r="AG63" s="787">
        <f>+$E62*AG133</f>
        <v/>
      </c>
      <c r="AH63" s="787">
        <f>SUM(V62:AG62)</f>
        <v/>
      </c>
      <c r="AI63" s="681" t="n"/>
      <c r="AJ63" s="787">
        <f>+AH62+T62</f>
        <v/>
      </c>
      <c r="AK63" s="681" t="n"/>
      <c r="AL63" s="681" t="n"/>
      <c r="AM63" s="681" t="n"/>
      <c r="AN63" s="681" t="n"/>
      <c r="AO63" s="681" t="n"/>
    </row>
    <row r="64" outlineLevel="1" ht="14" customHeight="1" s="549">
      <c r="A64" s="686" t="n"/>
      <c r="B64" s="686" t="n"/>
      <c r="C64" s="771" t="inlineStr">
        <is>
          <t>10.</t>
        </is>
      </c>
      <c r="D64" s="682" t="inlineStr">
        <is>
          <t xml:space="preserve">Gastos Varios </t>
        </is>
      </c>
      <c r="E64" s="780">
        <f>+Supuestos!E66</f>
        <v/>
      </c>
      <c r="F64" s="682">
        <f>+F134</f>
        <v/>
      </c>
      <c r="G64" s="686" t="n"/>
      <c r="H64" s="782">
        <f>+SUM(H64:H68)</f>
        <v/>
      </c>
      <c r="I64" s="782">
        <f>+SUM(I64:I68)</f>
        <v/>
      </c>
      <c r="J64" s="782">
        <f>+SUM(J64:J68)</f>
        <v/>
      </c>
      <c r="K64" s="782">
        <f>+SUM(K64:K68)</f>
        <v/>
      </c>
      <c r="L64" s="782">
        <f>+SUM(L64:L68)</f>
        <v/>
      </c>
      <c r="M64" s="782">
        <f>+SUM(M64:M68)</f>
        <v/>
      </c>
      <c r="N64" s="782">
        <f>+SUM(N64:N68)</f>
        <v/>
      </c>
      <c r="O64" s="782">
        <f>+SUM(O64:O68)</f>
        <v/>
      </c>
      <c r="P64" s="782">
        <f>+SUM(P64:P68)</f>
        <v/>
      </c>
      <c r="Q64" s="782">
        <f>+SUM(Q64:Q68)</f>
        <v/>
      </c>
      <c r="R64" s="782">
        <f>+SUM(R64:R68)</f>
        <v/>
      </c>
      <c r="S64" s="782">
        <f>+SUM(S64:S68)</f>
        <v/>
      </c>
      <c r="T64" s="782">
        <f>SUM(H63:S63)</f>
        <v/>
      </c>
      <c r="U64" s="686" t="n"/>
      <c r="V64" s="782">
        <f>+SUM(V64:V68)</f>
        <v/>
      </c>
      <c r="W64" s="782">
        <f>+SUM(W64:W68)</f>
        <v/>
      </c>
      <c r="X64" s="782">
        <f>+SUM(X64:X68)</f>
        <v/>
      </c>
      <c r="Y64" s="782">
        <f>+SUM(Y64:Y68)</f>
        <v/>
      </c>
      <c r="Z64" s="782">
        <f>+SUM(Z64:Z68)</f>
        <v/>
      </c>
      <c r="AA64" s="782">
        <f>+SUM(AA64:AA68)</f>
        <v/>
      </c>
      <c r="AB64" s="782">
        <f>+SUM(AB64:AB68)</f>
        <v/>
      </c>
      <c r="AC64" s="782">
        <f>+SUM(AC64:AC68)</f>
        <v/>
      </c>
      <c r="AD64" s="782">
        <f>+SUM(AD64:AD68)</f>
        <v/>
      </c>
      <c r="AE64" s="782">
        <f>+SUM(AE64:AE68)</f>
        <v/>
      </c>
      <c r="AF64" s="782">
        <f>+SUM(AF64:AF68)</f>
        <v/>
      </c>
      <c r="AG64" s="782">
        <f>+SUM(AG64:AG68)</f>
        <v/>
      </c>
      <c r="AH64" s="782">
        <f>SUM(V63:AG63)</f>
        <v/>
      </c>
      <c r="AI64" s="686" t="n"/>
      <c r="AJ64" s="782">
        <f>+AH63+T63</f>
        <v/>
      </c>
      <c r="AK64" s="686" t="n"/>
      <c r="AL64" s="686" t="n"/>
      <c r="AM64" s="686" t="n"/>
      <c r="AN64" s="686" t="n"/>
      <c r="AO64" s="686" t="n"/>
    </row>
    <row r="65" outlineLevel="1" ht="14" customHeight="1" s="549">
      <c r="A65" s="681" t="n"/>
      <c r="B65" s="681" t="inlineStr">
        <is>
          <t xml:space="preserve">Boleta </t>
        </is>
      </c>
      <c r="C65" s="783" t="inlineStr">
        <is>
          <t>10.1</t>
        </is>
      </c>
      <c r="D65" s="784" t="inlineStr">
        <is>
          <t xml:space="preserve">Compras de Equipos, EEPP, Otros </t>
        </is>
      </c>
      <c r="E65" s="785">
        <f>+Supuestos!G67</f>
        <v/>
      </c>
      <c r="F65" s="784">
        <f>+F135</f>
        <v/>
      </c>
      <c r="G65" s="681" t="n"/>
      <c r="H65" s="787">
        <f>+$E64*H135</f>
        <v/>
      </c>
      <c r="I65" s="787">
        <f>+$E64*I135</f>
        <v/>
      </c>
      <c r="J65" s="787">
        <f>+$E64*J135</f>
        <v/>
      </c>
      <c r="K65" s="787">
        <f>+$E64*K135</f>
        <v/>
      </c>
      <c r="L65" s="787">
        <f>+$E64*L135</f>
        <v/>
      </c>
      <c r="M65" s="787">
        <f>+$E64*M135</f>
        <v/>
      </c>
      <c r="N65" s="787">
        <f>+$E64*N135</f>
        <v/>
      </c>
      <c r="O65" s="787">
        <f>+$E64*O135</f>
        <v/>
      </c>
      <c r="P65" s="787">
        <f>+$E64*P135</f>
        <v/>
      </c>
      <c r="Q65" s="787">
        <f>+$E64*Q135</f>
        <v/>
      </c>
      <c r="R65" s="787">
        <f>+$E64*R135</f>
        <v/>
      </c>
      <c r="S65" s="787">
        <f>+$E64*S135</f>
        <v/>
      </c>
      <c r="T65" s="787">
        <f>SUM(H64:S64)</f>
        <v/>
      </c>
      <c r="U65" s="681" t="n"/>
      <c r="V65" s="787">
        <f>+$E64*V135</f>
        <v/>
      </c>
      <c r="W65" s="787">
        <f>+$E64*W135</f>
        <v/>
      </c>
      <c r="X65" s="787">
        <f>+$E64*X135</f>
        <v/>
      </c>
      <c r="Y65" s="787">
        <f>+$E64*Y135</f>
        <v/>
      </c>
      <c r="Z65" s="787">
        <f>+$E64*Z135</f>
        <v/>
      </c>
      <c r="AA65" s="787">
        <f>+$E64*AA135</f>
        <v/>
      </c>
      <c r="AB65" s="787">
        <f>+$E64*AB135</f>
        <v/>
      </c>
      <c r="AC65" s="787">
        <f>+$E64*AC135</f>
        <v/>
      </c>
      <c r="AD65" s="787">
        <f>+$E64*AD135</f>
        <v/>
      </c>
      <c r="AE65" s="787">
        <f>+$E64*AE135</f>
        <v/>
      </c>
      <c r="AF65" s="787">
        <f>+$E64*AF135</f>
        <v/>
      </c>
      <c r="AG65" s="787">
        <f>+$E64*AG135</f>
        <v/>
      </c>
      <c r="AH65" s="787">
        <f>SUM(V64:AG64)</f>
        <v/>
      </c>
      <c r="AI65" s="681" t="n"/>
      <c r="AJ65" s="787">
        <f>+AH64+T64</f>
        <v/>
      </c>
      <c r="AK65" s="681" t="n"/>
      <c r="AL65" s="681" t="n"/>
      <c r="AM65" s="681" t="n"/>
      <c r="AN65" s="681" t="n"/>
      <c r="AO65" s="681" t="n"/>
    </row>
    <row r="66" outlineLevel="1" ht="14" customHeight="1" s="549">
      <c r="A66" s="686" t="n"/>
      <c r="B66" s="686" t="inlineStr">
        <is>
          <t xml:space="preserve">Boleta </t>
        </is>
      </c>
      <c r="C66" s="788" t="inlineStr">
        <is>
          <t>10.2</t>
        </is>
      </c>
      <c r="D66" s="789" t="inlineStr">
        <is>
          <t>Mensajerias (Correo de Chile)</t>
        </is>
      </c>
      <c r="E66" s="790">
        <f>+Supuestos!G68</f>
        <v/>
      </c>
      <c r="F66" s="789">
        <f>+F136</f>
        <v/>
      </c>
      <c r="G66" s="686" t="n"/>
      <c r="H66" s="782">
        <f>+$E65*H136</f>
        <v/>
      </c>
      <c r="I66" s="782">
        <f>+$E65*I136</f>
        <v/>
      </c>
      <c r="J66" s="782">
        <f>+$E65*J136</f>
        <v/>
      </c>
      <c r="K66" s="782">
        <f>+$E65*K136</f>
        <v/>
      </c>
      <c r="L66" s="782">
        <f>+$E65*L136</f>
        <v/>
      </c>
      <c r="M66" s="782">
        <f>+$E65*M136</f>
        <v/>
      </c>
      <c r="N66" s="782">
        <f>+$E65*N136</f>
        <v/>
      </c>
      <c r="O66" s="782">
        <f>+$E65*O136</f>
        <v/>
      </c>
      <c r="P66" s="782">
        <f>+$E65*P136</f>
        <v/>
      </c>
      <c r="Q66" s="782">
        <f>+$E65*Q136</f>
        <v/>
      </c>
      <c r="R66" s="782">
        <f>+$E65*R136</f>
        <v/>
      </c>
      <c r="S66" s="782">
        <f>+$E65*S136</f>
        <v/>
      </c>
      <c r="T66" s="782">
        <f>SUM(H65:S65)</f>
        <v/>
      </c>
      <c r="U66" s="686" t="n"/>
      <c r="V66" s="782">
        <f>+$E65*V136</f>
        <v/>
      </c>
      <c r="W66" s="782">
        <f>+$E65*W136</f>
        <v/>
      </c>
      <c r="X66" s="782">
        <f>+$E65*X136</f>
        <v/>
      </c>
      <c r="Y66" s="782">
        <f>+$E65*Y136</f>
        <v/>
      </c>
      <c r="Z66" s="782">
        <f>+$E65*Z136</f>
        <v/>
      </c>
      <c r="AA66" s="782">
        <f>+$E65*AA136</f>
        <v/>
      </c>
      <c r="AB66" s="782">
        <f>+$E65*AB136</f>
        <v/>
      </c>
      <c r="AC66" s="782">
        <f>+$E65*AC136</f>
        <v/>
      </c>
      <c r="AD66" s="782">
        <f>+$E65*AD136</f>
        <v/>
      </c>
      <c r="AE66" s="782">
        <f>+$E65*AE136</f>
        <v/>
      </c>
      <c r="AF66" s="782">
        <f>+$E65*AF136</f>
        <v/>
      </c>
      <c r="AG66" s="782">
        <f>+$E65*AG136</f>
        <v/>
      </c>
      <c r="AH66" s="782">
        <f>SUM(V65:AG65)</f>
        <v/>
      </c>
      <c r="AI66" s="686" t="n"/>
      <c r="AJ66" s="782">
        <f>+AH65+T65</f>
        <v/>
      </c>
      <c r="AK66" s="686" t="n"/>
      <c r="AL66" s="686" t="n"/>
      <c r="AM66" s="686" t="n"/>
      <c r="AN66" s="686" t="n"/>
      <c r="AO66" s="686" t="n"/>
    </row>
    <row r="67" outlineLevel="1" ht="14" customHeight="1" s="549">
      <c r="A67" s="681" t="n"/>
      <c r="B67" s="681" t="inlineStr">
        <is>
          <t xml:space="preserve">Factura + Boleta </t>
        </is>
      </c>
      <c r="C67" s="783" t="inlineStr">
        <is>
          <t>10.3</t>
        </is>
      </c>
      <c r="D67" s="784" t="inlineStr">
        <is>
          <t>Impresión de manuales</t>
        </is>
      </c>
      <c r="E67" s="785">
        <f>+Supuestos!G69</f>
        <v/>
      </c>
      <c r="F67" s="784">
        <f>+F137</f>
        <v/>
      </c>
      <c r="G67" s="681" t="n"/>
      <c r="H67" s="787">
        <f>+$E66*H137</f>
        <v/>
      </c>
      <c r="I67" s="787">
        <f>+$E66*I137</f>
        <v/>
      </c>
      <c r="J67" s="787">
        <f>+$E66*J137</f>
        <v/>
      </c>
      <c r="K67" s="787">
        <f>+$E66*K137</f>
        <v/>
      </c>
      <c r="L67" s="787">
        <f>+$E66*L137</f>
        <v/>
      </c>
      <c r="M67" s="787">
        <f>+$E66*M137</f>
        <v/>
      </c>
      <c r="N67" s="787">
        <f>+$E66*N137</f>
        <v/>
      </c>
      <c r="O67" s="787">
        <f>+$E66*O137</f>
        <v/>
      </c>
      <c r="P67" s="787">
        <f>+$E66*P137</f>
        <v/>
      </c>
      <c r="Q67" s="787">
        <f>+$E66*Q137</f>
        <v/>
      </c>
      <c r="R67" s="787">
        <f>+$E66*R137</f>
        <v/>
      </c>
      <c r="S67" s="787">
        <f>+$E66*S137</f>
        <v/>
      </c>
      <c r="T67" s="787">
        <f>SUM(H66:S66)</f>
        <v/>
      </c>
      <c r="U67" s="681" t="n"/>
      <c r="V67" s="787">
        <f>+$E66*V137</f>
        <v/>
      </c>
      <c r="W67" s="787">
        <f>+$E66*W137</f>
        <v/>
      </c>
      <c r="X67" s="787">
        <f>+$E66*X137</f>
        <v/>
      </c>
      <c r="Y67" s="787">
        <f>+$E66*Y137</f>
        <v/>
      </c>
      <c r="Z67" s="787">
        <f>+$E66*Z137</f>
        <v/>
      </c>
      <c r="AA67" s="787">
        <f>+$E66*AA137</f>
        <v/>
      </c>
      <c r="AB67" s="787">
        <f>+$E66*AB137</f>
        <v/>
      </c>
      <c r="AC67" s="787">
        <f>+$E66*AC137</f>
        <v/>
      </c>
      <c r="AD67" s="787">
        <f>+$E66*AD137</f>
        <v/>
      </c>
      <c r="AE67" s="787">
        <f>+$E66*AE137</f>
        <v/>
      </c>
      <c r="AF67" s="787">
        <f>+$E66*AF137</f>
        <v/>
      </c>
      <c r="AG67" s="787">
        <f>+$E66*AG137</f>
        <v/>
      </c>
      <c r="AH67" s="787">
        <f>SUM(V66:AG66)</f>
        <v/>
      </c>
      <c r="AI67" s="681" t="n"/>
      <c r="AJ67" s="787">
        <f>+AH66+T66</f>
        <v/>
      </c>
      <c r="AK67" s="681" t="n"/>
      <c r="AL67" s="681" t="n"/>
      <c r="AM67" s="681" t="n"/>
      <c r="AN67" s="681" t="n"/>
      <c r="AO67" s="681" t="n"/>
    </row>
    <row r="68" outlineLevel="1" ht="14" customHeight="1" s="549">
      <c r="A68" s="686" t="n"/>
      <c r="B68" s="686" t="inlineStr">
        <is>
          <t xml:space="preserve">Factura + Boleta </t>
        </is>
      </c>
      <c r="C68" s="788" t="inlineStr">
        <is>
          <t>10.4</t>
        </is>
      </c>
      <c r="D68" s="789" t="inlineStr">
        <is>
          <t>Mantención y reparación de Vehículos</t>
        </is>
      </c>
      <c r="E68" s="790">
        <f>+Supuestos!G70</f>
        <v/>
      </c>
      <c r="F68" s="789">
        <f>+F138</f>
        <v/>
      </c>
      <c r="G68" s="686" t="n"/>
      <c r="H68" s="782">
        <f>+$E67*H138</f>
        <v/>
      </c>
      <c r="I68" s="782">
        <f>+$E67*I138</f>
        <v/>
      </c>
      <c r="J68" s="782">
        <f>+$E67*J138</f>
        <v/>
      </c>
      <c r="K68" s="782">
        <f>+$E67*K138</f>
        <v/>
      </c>
      <c r="L68" s="782">
        <f>+$E67*L138</f>
        <v/>
      </c>
      <c r="M68" s="782">
        <f>+$E67*M138</f>
        <v/>
      </c>
      <c r="N68" s="782">
        <f>+$E67*N138</f>
        <v/>
      </c>
      <c r="O68" s="782">
        <f>+$E67*O138</f>
        <v/>
      </c>
      <c r="P68" s="782">
        <f>+$E67*P138</f>
        <v/>
      </c>
      <c r="Q68" s="782">
        <f>+$E67*Q138</f>
        <v/>
      </c>
      <c r="R68" s="782">
        <f>+$E67*R138</f>
        <v/>
      </c>
      <c r="S68" s="782">
        <f>+$E67*S138</f>
        <v/>
      </c>
      <c r="T68" s="782" t="n"/>
      <c r="U68" s="686" t="n"/>
      <c r="V68" s="782">
        <f>+$E67*V138</f>
        <v/>
      </c>
      <c r="W68" s="782">
        <f>+$E67*W138</f>
        <v/>
      </c>
      <c r="X68" s="782">
        <f>+$E67*X138</f>
        <v/>
      </c>
      <c r="Y68" s="782">
        <f>+$E67*Y138</f>
        <v/>
      </c>
      <c r="Z68" s="782">
        <f>+$E67*Z138</f>
        <v/>
      </c>
      <c r="AA68" s="782">
        <f>+$E67*AA138</f>
        <v/>
      </c>
      <c r="AB68" s="782">
        <f>+$E67*AB138</f>
        <v/>
      </c>
      <c r="AC68" s="782">
        <f>+$E67*AC138</f>
        <v/>
      </c>
      <c r="AD68" s="782">
        <f>+$E67*AD138</f>
        <v/>
      </c>
      <c r="AE68" s="782">
        <f>+$E67*AE138</f>
        <v/>
      </c>
      <c r="AF68" s="782">
        <f>+$E67*AF138</f>
        <v/>
      </c>
      <c r="AG68" s="782">
        <f>+$E67*AG138</f>
        <v/>
      </c>
      <c r="AH68" s="782" t="n"/>
      <c r="AI68" s="686" t="n"/>
      <c r="AJ68" s="782">
        <f>+AH67+T67</f>
        <v/>
      </c>
      <c r="AK68" s="686" t="n"/>
      <c r="AL68" s="686" t="n"/>
      <c r="AM68" s="686" t="n"/>
      <c r="AN68" s="686" t="n"/>
      <c r="AO68" s="686" t="n"/>
    </row>
    <row r="69" ht="14" customHeight="1" s="549">
      <c r="A69" s="681" t="n"/>
      <c r="B69" s="681" t="inlineStr">
        <is>
          <t xml:space="preserve">Boleta </t>
        </is>
      </c>
      <c r="C69" s="783" t="inlineStr">
        <is>
          <t>10.5</t>
        </is>
      </c>
      <c r="D69" s="784" t="inlineStr">
        <is>
          <t xml:space="preserve">Otros varios </t>
        </is>
      </c>
      <c r="E69" s="785">
        <f>+Supuestos!G71</f>
        <v/>
      </c>
      <c r="F69" s="784">
        <f>+F139</f>
        <v/>
      </c>
      <c r="G69" s="681" t="n"/>
      <c r="H69" s="787">
        <f>+$E68*H139</f>
        <v/>
      </c>
      <c r="I69" s="787">
        <f>+$E68*I139</f>
        <v/>
      </c>
      <c r="J69" s="787">
        <f>+$E68*J139</f>
        <v/>
      </c>
      <c r="K69" s="787">
        <f>+$E68*K139</f>
        <v/>
      </c>
      <c r="L69" s="787">
        <f>+$E68*L139</f>
        <v/>
      </c>
      <c r="M69" s="787">
        <f>+$E68*M139</f>
        <v/>
      </c>
      <c r="N69" s="787">
        <f>+$E68*N139</f>
        <v/>
      </c>
      <c r="O69" s="787">
        <f>+$E68*O139</f>
        <v/>
      </c>
      <c r="P69" s="787">
        <f>+$E68*P139</f>
        <v/>
      </c>
      <c r="Q69" s="787">
        <f>+$E68*Q139</f>
        <v/>
      </c>
      <c r="R69" s="787">
        <f>+$E68*R139</f>
        <v/>
      </c>
      <c r="S69" s="787">
        <f>Supuestos!E2+$E68*S139</f>
        <v/>
      </c>
      <c r="T69" s="787">
        <f>SUM(H68:S68)</f>
        <v/>
      </c>
      <c r="U69" s="681" t="n"/>
      <c r="V69" s="787">
        <f>+$E68*V139</f>
        <v/>
      </c>
      <c r="W69" s="787">
        <f>+$E68*W139</f>
        <v/>
      </c>
      <c r="X69" s="787">
        <f>+$E68*X139</f>
        <v/>
      </c>
      <c r="Y69" s="787">
        <f>+$E68*Y139</f>
        <v/>
      </c>
      <c r="Z69" s="787">
        <f>+$E68*Z139</f>
        <v/>
      </c>
      <c r="AA69" s="787">
        <f>+$E68*AA139</f>
        <v/>
      </c>
      <c r="AB69" s="787">
        <f>+$E68*AB139</f>
        <v/>
      </c>
      <c r="AC69" s="787">
        <f>+$E68*AC139</f>
        <v/>
      </c>
      <c r="AD69" s="787">
        <f>+$E68*AD139</f>
        <v/>
      </c>
      <c r="AE69" s="787">
        <f>+$E68*AE139</f>
        <v/>
      </c>
      <c r="AF69" s="787">
        <f>+$E68*AF139</f>
        <v/>
      </c>
      <c r="AG69" s="787">
        <f>+$E68*AG139</f>
        <v/>
      </c>
      <c r="AH69" s="787">
        <f>SUM(V68:AG68)</f>
        <v/>
      </c>
      <c r="AI69" s="681" t="n"/>
      <c r="AJ69" s="787">
        <f>+AH68+T68</f>
        <v/>
      </c>
      <c r="AK69" s="681" t="n"/>
      <c r="AL69" s="794" t="n"/>
      <c r="AM69" s="787" t="n"/>
      <c r="AN69" s="681" t="n"/>
      <c r="AO69" s="681" t="n"/>
    </row>
    <row r="70" ht="14" customHeight="1" s="549">
      <c r="A70" s="686" t="n"/>
      <c r="B70" s="686" t="n"/>
      <c r="C70" s="788" t="n"/>
      <c r="D70" s="789" t="n"/>
      <c r="E70" s="789" t="n"/>
      <c r="F70" s="789" t="n"/>
      <c r="G70" s="686" t="n"/>
      <c r="H70" s="782" t="n"/>
      <c r="I70" s="782" t="n"/>
      <c r="J70" s="782" t="n"/>
      <c r="K70" s="782" t="n"/>
      <c r="L70" s="782" t="n"/>
      <c r="M70" s="782" t="n"/>
      <c r="N70" s="782" t="n"/>
      <c r="O70" s="782" t="n"/>
      <c r="P70" s="782" t="n"/>
      <c r="Q70" s="782" t="n"/>
      <c r="R70" s="782" t="n"/>
      <c r="S70" s="686" t="n"/>
      <c r="T70" s="686" t="n"/>
      <c r="U70" s="686" t="n"/>
      <c r="V70" s="782" t="n"/>
      <c r="W70" s="782" t="n"/>
      <c r="X70" s="782" t="n"/>
      <c r="Y70" s="782" t="n"/>
      <c r="Z70" s="782" t="n"/>
      <c r="AA70" s="782" t="n"/>
      <c r="AB70" s="782" t="n"/>
      <c r="AC70" s="782" t="n"/>
      <c r="AD70" s="782" t="n"/>
      <c r="AE70" s="782" t="n"/>
      <c r="AF70" s="782" t="n"/>
      <c r="AG70" s="782" t="n"/>
      <c r="AH70" s="686" t="n"/>
      <c r="AI70" s="686" t="n"/>
      <c r="AJ70" s="782">
        <f>+AJ5+AJ16+AJ20+AJ23+AJ33+AJ36+AJ41+AJ49+AJ56+AJ63</f>
        <v/>
      </c>
      <c r="AK70" s="686" t="inlineStr">
        <is>
          <t>TOTAL</t>
        </is>
      </c>
      <c r="AL70" s="782">
        <f>AJ5</f>
        <v/>
      </c>
      <c r="AM70" s="782" t="inlineStr">
        <is>
          <t>Costo Equipos en La Serena</t>
        </is>
      </c>
      <c r="AN70" s="686" t="n"/>
      <c r="AO70" s="686" t="n"/>
    </row>
    <row r="71" ht="14" customHeight="1" s="549">
      <c r="A71" s="681" t="n"/>
      <c r="B71" s="681" t="n"/>
      <c r="C71" s="783" t="n"/>
      <c r="D71" s="784" t="n"/>
      <c r="E71" s="784" t="n"/>
      <c r="F71" s="784" t="n"/>
      <c r="G71" s="681" t="n"/>
      <c r="H71" s="787" t="n"/>
      <c r="I71" s="787" t="n"/>
      <c r="J71" s="787" t="n"/>
      <c r="K71" s="787" t="n"/>
      <c r="L71" s="787" t="n"/>
      <c r="M71" s="787" t="n"/>
      <c r="N71" s="787" t="n"/>
      <c r="O71" s="787" t="n"/>
      <c r="P71" s="787" t="n"/>
      <c r="Q71" s="787" t="n"/>
      <c r="R71" s="787" t="n"/>
      <c r="S71" s="681" t="n"/>
      <c r="T71" s="681" t="n"/>
      <c r="U71" s="681" t="n"/>
      <c r="V71" s="787" t="n"/>
      <c r="W71" s="787" t="n"/>
      <c r="X71" s="787" t="n"/>
      <c r="Y71" s="787" t="n"/>
      <c r="Z71" s="787" t="n"/>
      <c r="AA71" s="787" t="n"/>
      <c r="AB71" s="787" t="n"/>
      <c r="AC71" s="787" t="n"/>
      <c r="AD71" s="787" t="n"/>
      <c r="AE71" s="787" t="n"/>
      <c r="AF71" s="787" t="n"/>
      <c r="AG71" s="787" t="n"/>
      <c r="AH71" s="681" t="n"/>
      <c r="AI71" s="681" t="n"/>
      <c r="AJ71" s="787" t="n"/>
      <c r="AK71" s="681" t="n"/>
      <c r="AL71" s="787">
        <f>AJ69-AL69</f>
        <v/>
      </c>
      <c r="AM71" s="681" t="inlineStr">
        <is>
          <t>Diferencia de Sistema y Aporte Cuota</t>
        </is>
      </c>
      <c r="AN71" s="787">
        <f>+AL70-AL71</f>
        <v/>
      </c>
      <c r="AO71" s="681" t="inlineStr">
        <is>
          <t>Diferencia de Costos Fundación y Equipos</t>
        </is>
      </c>
    </row>
    <row r="72" ht="14" customHeight="1" s="549">
      <c r="A72" s="686" t="n"/>
      <c r="B72" s="686" t="n"/>
      <c r="C72" s="788" t="n"/>
      <c r="D72" s="789" t="n"/>
      <c r="E72" s="789" t="n"/>
      <c r="F72" s="789" t="n"/>
      <c r="G72" s="686" t="n"/>
      <c r="H72" s="782" t="n"/>
      <c r="I72" s="782" t="n"/>
      <c r="J72" s="782" t="n"/>
      <c r="K72" s="782" t="n"/>
      <c r="L72" s="782" t="n"/>
      <c r="M72" s="782" t="n"/>
      <c r="N72" s="782" t="n"/>
      <c r="O72" s="782" t="n"/>
      <c r="P72" s="782" t="n"/>
      <c r="Q72" s="782" t="n"/>
      <c r="R72" s="782" t="n"/>
      <c r="S72" s="686" t="n"/>
      <c r="T72" s="686" t="n"/>
      <c r="U72" s="686" t="n"/>
      <c r="V72" s="782" t="n"/>
      <c r="W72" s="782" t="n"/>
      <c r="X72" s="782" t="n"/>
      <c r="Y72" s="782" t="n"/>
      <c r="Z72" s="782" t="n"/>
      <c r="AA72" s="782" t="n"/>
      <c r="AB72" s="782" t="n"/>
      <c r="AC72" s="782" t="n"/>
      <c r="AD72" s="782" t="n"/>
      <c r="AE72" s="782" t="n"/>
      <c r="AF72" s="782" t="n"/>
      <c r="AG72" s="782" t="n"/>
      <c r="AH72" s="686" t="n"/>
      <c r="AI72" s="686" t="n"/>
      <c r="AJ72" s="782">
        <f>AJ69/60</f>
        <v/>
      </c>
      <c r="AK72" s="686" t="n"/>
      <c r="AL72" s="782">
        <f>150000000</f>
        <v/>
      </c>
      <c r="AM72" s="686" t="inlineStr">
        <is>
          <t>Meta a cubrir 50%</t>
        </is>
      </c>
      <c r="AN72" s="686" t="n"/>
      <c r="AO72" s="686" t="n"/>
    </row>
    <row r="73">
      <c r="AH73" s="463" t="n"/>
    </row>
    <row r="74" ht="11.25" customHeight="1" s="549">
      <c r="AH74" s="463" t="n"/>
    </row>
    <row r="75" ht="14" customHeight="1" s="549">
      <c r="A75" s="681" t="n"/>
      <c r="B75" s="681" t="n"/>
      <c r="C75" s="681" t="n"/>
      <c r="D75" s="681" t="inlineStr">
        <is>
          <t>CANTIDAD</t>
        </is>
      </c>
      <c r="E75" s="681" t="n"/>
      <c r="F75" s="681" t="n"/>
      <c r="G75" s="681" t="n"/>
      <c r="H75" s="681" t="n"/>
      <c r="I75" s="681" t="n"/>
      <c r="J75" s="681" t="n"/>
      <c r="K75" s="681" t="n"/>
      <c r="L75" s="681" t="n"/>
      <c r="M75" s="681" t="n"/>
      <c r="N75" s="681" t="n"/>
      <c r="O75" s="681" t="n"/>
      <c r="P75" s="681" t="n"/>
      <c r="Q75" s="795" t="n">
        <v>0.3</v>
      </c>
      <c r="R75" s="681" t="n"/>
      <c r="S75" s="681" t="n"/>
      <c r="T75" s="681" t="n"/>
      <c r="U75" s="681" t="n"/>
      <c r="V75" s="796" t="n">
        <v>0.5</v>
      </c>
      <c r="W75" s="795" t="n">
        <v>0.2</v>
      </c>
      <c r="X75" s="681" t="n"/>
      <c r="Y75" s="681" t="n"/>
      <c r="Z75" s="681" t="n"/>
      <c r="AA75" s="681" t="n"/>
      <c r="AB75" s="681" t="n"/>
      <c r="AC75" s="681" t="n"/>
      <c r="AD75" s="681" t="n"/>
      <c r="AE75" s="681" t="n"/>
      <c r="AF75" s="681" t="n"/>
      <c r="AG75" s="681" t="n"/>
      <c r="AH75" s="681" t="n"/>
      <c r="AI75" s="681" t="n"/>
      <c r="AJ75" s="681" t="n"/>
      <c r="AK75" s="681" t="n"/>
      <c r="AL75" s="681" t="n"/>
      <c r="AM75" s="681" t="n"/>
      <c r="AN75" s="681" t="n"/>
      <c r="AO75" s="681" t="n"/>
    </row>
    <row r="76" ht="14" customHeight="1" s="549">
      <c r="A76" s="686" t="n"/>
      <c r="B76" s="686" t="inlineStr">
        <is>
          <t>Forma pago</t>
        </is>
      </c>
      <c r="C76" s="683" t="inlineStr">
        <is>
          <t>Nivel</t>
        </is>
      </c>
      <c r="D76" s="682" t="inlineStr">
        <is>
          <t>Item</t>
        </is>
      </c>
      <c r="E76" s="756" t="inlineStr">
        <is>
          <t>Cantidad</t>
        </is>
      </c>
      <c r="F76" s="756" t="inlineStr">
        <is>
          <t>Cantidad</t>
        </is>
      </c>
      <c r="G76" s="686" t="n"/>
      <c r="H76" s="797" t="n">
        <v>46023</v>
      </c>
      <c r="I76" s="797" t="n">
        <v>46054</v>
      </c>
      <c r="J76" s="797" t="n">
        <v>46082</v>
      </c>
      <c r="K76" s="797" t="n">
        <v>46113</v>
      </c>
      <c r="L76" s="797" t="n">
        <v>46143</v>
      </c>
      <c r="M76" s="797" t="n">
        <v>46174</v>
      </c>
      <c r="N76" s="797" t="n">
        <v>46204</v>
      </c>
      <c r="O76" s="797" t="n">
        <v>46235</v>
      </c>
      <c r="P76" s="797" t="n">
        <v>46266</v>
      </c>
      <c r="Q76" s="797" t="n">
        <v>46296</v>
      </c>
      <c r="R76" s="797" t="n">
        <v>46327</v>
      </c>
      <c r="S76" s="797" t="n">
        <v>46357</v>
      </c>
      <c r="T76" s="798" t="n">
        <v>2026</v>
      </c>
      <c r="U76" s="686" t="n"/>
      <c r="V76" s="797" t="n">
        <v>46388</v>
      </c>
      <c r="W76" s="797" t="n">
        <v>46419</v>
      </c>
      <c r="X76" s="797" t="n">
        <v>46447</v>
      </c>
      <c r="Y76" s="797" t="n">
        <v>46478</v>
      </c>
      <c r="Z76" s="797" t="n">
        <v>46508</v>
      </c>
      <c r="AA76" s="797" t="n">
        <v>46539</v>
      </c>
      <c r="AB76" s="797" t="n">
        <v>46569</v>
      </c>
      <c r="AC76" s="797" t="n">
        <v>46600</v>
      </c>
      <c r="AD76" s="797" t="n">
        <v>46631</v>
      </c>
      <c r="AE76" s="797" t="n">
        <v>46661</v>
      </c>
      <c r="AF76" s="797" t="n">
        <v>46692</v>
      </c>
      <c r="AG76" s="797" t="n">
        <v>46722</v>
      </c>
      <c r="AH76" s="798" t="n">
        <v>2026</v>
      </c>
      <c r="AI76" s="686" t="n"/>
      <c r="AJ76" s="686" t="n"/>
      <c r="AK76" s="686" t="n"/>
      <c r="AL76" s="686" t="n"/>
      <c r="AM76" s="686" t="n"/>
      <c r="AN76" s="686" t="n"/>
      <c r="AO76" s="686" t="n"/>
    </row>
    <row r="77" ht="14" customHeight="1" s="549">
      <c r="A77" s="681" t="n"/>
      <c r="B77" s="681" t="n"/>
      <c r="C77" s="712" t="n">
        <v>1</v>
      </c>
      <c r="D77" s="688" t="inlineStr">
        <is>
          <t>Compras activables ZIMPERTEC</t>
        </is>
      </c>
      <c r="E77" s="792">
        <f>+E5</f>
        <v/>
      </c>
      <c r="F77" s="688" t="n"/>
      <c r="G77" s="681" t="n"/>
      <c r="H77" s="799">
        <f>+'Flujo Neto'!H76</f>
        <v/>
      </c>
      <c r="I77" s="799">
        <f>+'Flujo Neto'!I76</f>
        <v/>
      </c>
      <c r="J77" s="799">
        <f>+'Flujo Neto'!J76</f>
        <v/>
      </c>
      <c r="K77" s="799">
        <f>+'Flujo Neto'!K76</f>
        <v/>
      </c>
      <c r="L77" s="799">
        <f>+'Flujo Neto'!L76</f>
        <v/>
      </c>
      <c r="M77" s="799">
        <f>+'Flujo Neto'!M76</f>
        <v/>
      </c>
      <c r="N77" s="799">
        <f>+'Flujo Neto'!N76</f>
        <v/>
      </c>
      <c r="O77" s="799">
        <f>+'Flujo Neto'!O76</f>
        <v/>
      </c>
      <c r="P77" s="799">
        <f>+'Flujo Neto'!P76</f>
        <v/>
      </c>
      <c r="Q77" s="799">
        <f>+'Flujo Neto'!Q76</f>
        <v/>
      </c>
      <c r="R77" s="799">
        <f>+'Flujo Neto'!R76</f>
        <v/>
      </c>
      <c r="S77" s="799">
        <f>+'Flujo Neto'!S76</f>
        <v/>
      </c>
      <c r="T77" s="799">
        <f>+'Flujo Neto'!T76</f>
        <v/>
      </c>
      <c r="U77" s="799" t="n"/>
      <c r="V77" s="799">
        <f>+'Flujo Neto'!V76</f>
        <v/>
      </c>
      <c r="W77" s="799">
        <f>+'Flujo Neto'!W76</f>
        <v/>
      </c>
      <c r="X77" s="799">
        <f>+'Flujo Neto'!X76</f>
        <v/>
      </c>
      <c r="Y77" s="799">
        <f>+'Flujo Neto'!Y76</f>
        <v/>
      </c>
      <c r="Z77" s="799">
        <f>+'Flujo Neto'!Z76</f>
        <v/>
      </c>
      <c r="AA77" s="799">
        <f>+'Flujo Neto'!AA76</f>
        <v/>
      </c>
      <c r="AB77" s="799">
        <f>+'Flujo Neto'!AB76</f>
        <v/>
      </c>
      <c r="AC77" s="799">
        <f>+'Flujo Neto'!AC76</f>
        <v/>
      </c>
      <c r="AD77" s="799">
        <f>+'Flujo Neto'!AD76</f>
        <v/>
      </c>
      <c r="AE77" s="799">
        <f>+'Flujo Neto'!AE76</f>
        <v/>
      </c>
      <c r="AF77" s="799">
        <f>+'Flujo Neto'!AF76</f>
        <v/>
      </c>
      <c r="AG77" s="799">
        <f>+'Flujo Neto'!AG76</f>
        <v/>
      </c>
      <c r="AH77" s="799">
        <f>+'Flujo Neto'!AH76</f>
        <v/>
      </c>
      <c r="AI77" s="681" t="n"/>
      <c r="AJ77" s="681" t="n"/>
      <c r="AK77" s="681" t="n"/>
      <c r="AL77" s="681" t="n"/>
      <c r="AM77" s="681" t="n"/>
      <c r="AN77" s="681" t="n"/>
      <c r="AO77" s="681" t="n"/>
    </row>
    <row r="78" ht="14" customHeight="1" s="549">
      <c r="A78" s="686" t="n"/>
      <c r="B78" s="686" t="inlineStr">
        <is>
          <t>Factura</t>
        </is>
      </c>
      <c r="C78" s="788" t="inlineStr">
        <is>
          <t>1.1</t>
        </is>
      </c>
      <c r="D78" s="789" t="inlineStr">
        <is>
          <t>Sistemas AC</t>
        </is>
      </c>
      <c r="E78" s="790">
        <f>+E6</f>
        <v/>
      </c>
      <c r="F78" s="791">
        <f>+Supuestos!H9</f>
        <v/>
      </c>
      <c r="G78" s="686" t="n"/>
      <c r="H78" s="800">
        <f>+'Flujo Neto'!H77</f>
        <v/>
      </c>
      <c r="I78" s="800">
        <f>+'Flujo Neto'!I77</f>
        <v/>
      </c>
      <c r="J78" s="800">
        <f>+'Flujo Neto'!J77</f>
        <v/>
      </c>
      <c r="K78" s="800">
        <f>+'Flujo Neto'!K77</f>
        <v/>
      </c>
      <c r="L78" s="800">
        <f>+'Flujo Neto'!L77</f>
        <v/>
      </c>
      <c r="M78" s="800">
        <f>+'Flujo Neto'!M77</f>
        <v/>
      </c>
      <c r="N78" s="800">
        <f>+'Flujo Neto'!N77</f>
        <v/>
      </c>
      <c r="O78" s="800">
        <f>+'Flujo Neto'!O77</f>
        <v/>
      </c>
      <c r="P78" s="800">
        <f>+'Flujo Neto'!P77</f>
        <v/>
      </c>
      <c r="Q78" s="800">
        <f>+'Flujo Neto'!Q77</f>
        <v/>
      </c>
      <c r="R78" s="800">
        <f>+'Flujo Neto'!R77</f>
        <v/>
      </c>
      <c r="S78" s="800">
        <f>+'Flujo Neto'!S77</f>
        <v/>
      </c>
      <c r="T78" s="800">
        <f>+'Flujo Neto'!T77</f>
        <v/>
      </c>
      <c r="U78" s="800" t="n"/>
      <c r="V78" s="800">
        <f>+'Flujo Neto'!V77</f>
        <v/>
      </c>
      <c r="W78" s="800">
        <f>+'Flujo Neto'!W77</f>
        <v/>
      </c>
      <c r="X78" s="800">
        <f>+'Flujo Neto'!X77</f>
        <v/>
      </c>
      <c r="Y78" s="800">
        <f>+'Flujo Neto'!Y77</f>
        <v/>
      </c>
      <c r="Z78" s="800">
        <f>+'Flujo Neto'!Z77</f>
        <v/>
      </c>
      <c r="AA78" s="800">
        <f>+'Flujo Neto'!AA77</f>
        <v/>
      </c>
      <c r="AB78" s="800">
        <f>+'Flujo Neto'!AB77</f>
        <v/>
      </c>
      <c r="AC78" s="800">
        <f>+'Flujo Neto'!AC77</f>
        <v/>
      </c>
      <c r="AD78" s="800">
        <f>+'Flujo Neto'!AD77</f>
        <v/>
      </c>
      <c r="AE78" s="800">
        <f>+'Flujo Neto'!AE77</f>
        <v/>
      </c>
      <c r="AF78" s="800">
        <f>+'Flujo Neto'!AF77</f>
        <v/>
      </c>
      <c r="AG78" s="800">
        <f>+'Flujo Neto'!AG77</f>
        <v/>
      </c>
      <c r="AH78" s="800">
        <f>+'Flujo Neto'!AH77</f>
        <v/>
      </c>
      <c r="AI78" s="686" t="n"/>
      <c r="AJ78" s="686" t="n"/>
      <c r="AK78" s="686" t="n"/>
      <c r="AL78" s="686" t="n"/>
      <c r="AM78" s="686" t="n"/>
      <c r="AN78" s="686" t="n"/>
      <c r="AO78" s="686" t="n"/>
    </row>
    <row r="79" ht="14" customHeight="1" s="549">
      <c r="A79" s="681" t="n"/>
      <c r="B79" s="681" t="inlineStr">
        <is>
          <t>Factura</t>
        </is>
      </c>
      <c r="C79" s="783" t="inlineStr">
        <is>
          <t>1.2</t>
        </is>
      </c>
      <c r="D79" s="784" t="inlineStr">
        <is>
          <t xml:space="preserve">Paneles </t>
        </is>
      </c>
      <c r="E79" s="785">
        <f>+E7</f>
        <v/>
      </c>
      <c r="F79" s="786">
        <f>+Supuestos!H10</f>
        <v/>
      </c>
      <c r="G79" s="681" t="n"/>
      <c r="H79" s="799">
        <f>+'Flujo Neto'!H78</f>
        <v/>
      </c>
      <c r="I79" s="799">
        <f>+'Flujo Neto'!I78</f>
        <v/>
      </c>
      <c r="J79" s="799">
        <f>+'Flujo Neto'!J78</f>
        <v/>
      </c>
      <c r="K79" s="799">
        <f>+'Flujo Neto'!K78</f>
        <v/>
      </c>
      <c r="L79" s="799">
        <f>+'Flujo Neto'!L78</f>
        <v/>
      </c>
      <c r="M79" s="799">
        <f>+'Flujo Neto'!M78</f>
        <v/>
      </c>
      <c r="N79" s="799">
        <f>+'Flujo Neto'!N78</f>
        <v/>
      </c>
      <c r="O79" s="799">
        <f>+'Flujo Neto'!O78</f>
        <v/>
      </c>
      <c r="P79" s="799">
        <f>+'Flujo Neto'!P78</f>
        <v/>
      </c>
      <c r="Q79" s="799">
        <f>+'Flujo Neto'!Q78</f>
        <v/>
      </c>
      <c r="R79" s="799">
        <f>+'Flujo Neto'!R78</f>
        <v/>
      </c>
      <c r="S79" s="799">
        <f>+'Flujo Neto'!S78</f>
        <v/>
      </c>
      <c r="T79" s="799">
        <f>+'Flujo Neto'!T78</f>
        <v/>
      </c>
      <c r="U79" s="799" t="n"/>
      <c r="V79" s="799">
        <f>+'Flujo Neto'!V78</f>
        <v/>
      </c>
      <c r="W79" s="799">
        <f>+'Flujo Neto'!W78</f>
        <v/>
      </c>
      <c r="X79" s="799">
        <f>+'Flujo Neto'!X78</f>
        <v/>
      </c>
      <c r="Y79" s="799">
        <f>+'Flujo Neto'!Y78</f>
        <v/>
      </c>
      <c r="Z79" s="799">
        <f>+'Flujo Neto'!Z78</f>
        <v/>
      </c>
      <c r="AA79" s="799">
        <f>+'Flujo Neto'!AA78</f>
        <v/>
      </c>
      <c r="AB79" s="799">
        <f>+'Flujo Neto'!AB78</f>
        <v/>
      </c>
      <c r="AC79" s="799">
        <f>+'Flujo Neto'!AC78</f>
        <v/>
      </c>
      <c r="AD79" s="799">
        <f>+'Flujo Neto'!AD78</f>
        <v/>
      </c>
      <c r="AE79" s="799">
        <f>+'Flujo Neto'!AE78</f>
        <v/>
      </c>
      <c r="AF79" s="799">
        <f>+'Flujo Neto'!AF78</f>
        <v/>
      </c>
      <c r="AG79" s="799">
        <f>+'Flujo Neto'!AG78</f>
        <v/>
      </c>
      <c r="AH79" s="799">
        <f>+'Flujo Neto'!AH78</f>
        <v/>
      </c>
      <c r="AI79" s="681" t="n"/>
      <c r="AJ79" s="681" t="n"/>
      <c r="AK79" s="681" t="n"/>
      <c r="AL79" s="681" t="n"/>
      <c r="AM79" s="681" t="n"/>
      <c r="AN79" s="681" t="n"/>
      <c r="AO79" s="681" t="n"/>
    </row>
    <row r="80" ht="14" customHeight="1" s="549">
      <c r="A80" s="686" t="n"/>
      <c r="B80" s="686" t="inlineStr">
        <is>
          <t>Factura</t>
        </is>
      </c>
      <c r="C80" s="788" t="inlineStr">
        <is>
          <t>1.3</t>
        </is>
      </c>
      <c r="D80" s="789" t="inlineStr">
        <is>
          <t>Lamparas</t>
        </is>
      </c>
      <c r="E80" s="790">
        <f>+E8</f>
        <v/>
      </c>
      <c r="F80" s="791">
        <f>+Supuestos!H11</f>
        <v/>
      </c>
      <c r="G80" s="686" t="n"/>
      <c r="H80" s="800">
        <f>+'Flujo Neto'!H79</f>
        <v/>
      </c>
      <c r="I80" s="800">
        <f>+'Flujo Neto'!I79</f>
        <v/>
      </c>
      <c r="J80" s="800">
        <f>+'Flujo Neto'!J79</f>
        <v/>
      </c>
      <c r="K80" s="800">
        <f>+'Flujo Neto'!K79</f>
        <v/>
      </c>
      <c r="L80" s="800">
        <f>+'Flujo Neto'!L79</f>
        <v/>
      </c>
      <c r="M80" s="800">
        <f>+'Flujo Neto'!M79</f>
        <v/>
      </c>
      <c r="N80" s="800">
        <f>+'Flujo Neto'!N79</f>
        <v/>
      </c>
      <c r="O80" s="800">
        <f>+'Flujo Neto'!O79</f>
        <v/>
      </c>
      <c r="P80" s="800">
        <f>+'Flujo Neto'!P79</f>
        <v/>
      </c>
      <c r="Q80" s="800">
        <f>+'Flujo Neto'!Q79</f>
        <v/>
      </c>
      <c r="R80" s="800">
        <f>+'Flujo Neto'!R79</f>
        <v/>
      </c>
      <c r="S80" s="800">
        <f>+'Flujo Neto'!S79</f>
        <v/>
      </c>
      <c r="T80" s="800">
        <f>+'Flujo Neto'!T79</f>
        <v/>
      </c>
      <c r="U80" s="800" t="n"/>
      <c r="V80" s="800">
        <f>+'Flujo Neto'!V79</f>
        <v/>
      </c>
      <c r="W80" s="800">
        <f>+'Flujo Neto'!W79</f>
        <v/>
      </c>
      <c r="X80" s="800">
        <f>+'Flujo Neto'!X79</f>
        <v/>
      </c>
      <c r="Y80" s="800">
        <f>+'Flujo Neto'!Y79</f>
        <v/>
      </c>
      <c r="Z80" s="800">
        <f>+'Flujo Neto'!Z79</f>
        <v/>
      </c>
      <c r="AA80" s="800">
        <f>+'Flujo Neto'!AA79</f>
        <v/>
      </c>
      <c r="AB80" s="800">
        <f>+'Flujo Neto'!AB79</f>
        <v/>
      </c>
      <c r="AC80" s="800">
        <f>+'Flujo Neto'!AC79</f>
        <v/>
      </c>
      <c r="AD80" s="800">
        <f>+'Flujo Neto'!AD79</f>
        <v/>
      </c>
      <c r="AE80" s="800">
        <f>+'Flujo Neto'!AE79</f>
        <v/>
      </c>
      <c r="AF80" s="800">
        <f>+'Flujo Neto'!AF79</f>
        <v/>
      </c>
      <c r="AG80" s="800">
        <f>+'Flujo Neto'!AG79</f>
        <v/>
      </c>
      <c r="AH80" s="800">
        <f>+'Flujo Neto'!AH79</f>
        <v/>
      </c>
      <c r="AI80" s="686" t="n"/>
      <c r="AJ80" s="686" t="n"/>
      <c r="AK80" s="686" t="n"/>
      <c r="AL80" s="686" t="n"/>
      <c r="AM80" s="686" t="n"/>
      <c r="AN80" s="686" t="n"/>
      <c r="AO80" s="686" t="n"/>
    </row>
    <row r="81" ht="14" customHeight="1" s="549">
      <c r="A81" s="681" t="n"/>
      <c r="B81" s="681" t="inlineStr">
        <is>
          <t>Factura</t>
        </is>
      </c>
      <c r="C81" s="783" t="inlineStr">
        <is>
          <t>1.4</t>
        </is>
      </c>
      <c r="D81" s="784" t="inlineStr">
        <is>
          <t>Hardware Monitoreo</t>
        </is>
      </c>
      <c r="E81" s="785">
        <f>+E9</f>
        <v/>
      </c>
      <c r="F81" s="786">
        <f>+Supuestos!H12</f>
        <v/>
      </c>
      <c r="G81" s="681" t="n"/>
      <c r="H81" s="799">
        <f>+'Flujo Neto'!H80</f>
        <v/>
      </c>
      <c r="I81" s="799">
        <f>+'Flujo Neto'!I80</f>
        <v/>
      </c>
      <c r="J81" s="799">
        <f>+'Flujo Neto'!J80</f>
        <v/>
      </c>
      <c r="K81" s="799">
        <f>+'Flujo Neto'!K80</f>
        <v/>
      </c>
      <c r="L81" s="799">
        <f>+'Flujo Neto'!L80</f>
        <v/>
      </c>
      <c r="M81" s="799">
        <f>+'Flujo Neto'!M80</f>
        <v/>
      </c>
      <c r="N81" s="799">
        <f>+'Flujo Neto'!N80</f>
        <v/>
      </c>
      <c r="O81" s="799">
        <f>+'Flujo Neto'!O80</f>
        <v/>
      </c>
      <c r="P81" s="799">
        <f>+'Flujo Neto'!P80</f>
        <v/>
      </c>
      <c r="Q81" s="799">
        <f>+'Flujo Neto'!Q80</f>
        <v/>
      </c>
      <c r="R81" s="799">
        <f>+'Flujo Neto'!R80</f>
        <v/>
      </c>
      <c r="S81" s="799">
        <f>+'Flujo Neto'!S80</f>
        <v/>
      </c>
      <c r="T81" s="799">
        <f>+'Flujo Neto'!T80</f>
        <v/>
      </c>
      <c r="U81" s="799" t="n"/>
      <c r="V81" s="799">
        <f>+'Flujo Neto'!V80</f>
        <v/>
      </c>
      <c r="W81" s="799">
        <f>+'Flujo Neto'!W80</f>
        <v/>
      </c>
      <c r="X81" s="799">
        <f>+'Flujo Neto'!X80</f>
        <v/>
      </c>
      <c r="Y81" s="799">
        <f>+'Flujo Neto'!Y80</f>
        <v/>
      </c>
      <c r="Z81" s="799">
        <f>+'Flujo Neto'!Z80</f>
        <v/>
      </c>
      <c r="AA81" s="799">
        <f>+'Flujo Neto'!AA80</f>
        <v/>
      </c>
      <c r="AB81" s="799">
        <f>+'Flujo Neto'!AB80</f>
        <v/>
      </c>
      <c r="AC81" s="799">
        <f>+'Flujo Neto'!AC80</f>
        <v/>
      </c>
      <c r="AD81" s="799">
        <f>+'Flujo Neto'!AD80</f>
        <v/>
      </c>
      <c r="AE81" s="799">
        <f>+'Flujo Neto'!AE80</f>
        <v/>
      </c>
      <c r="AF81" s="799">
        <f>+'Flujo Neto'!AF80</f>
        <v/>
      </c>
      <c r="AG81" s="799">
        <f>+'Flujo Neto'!AG80</f>
        <v/>
      </c>
      <c r="AH81" s="799">
        <f>+'Flujo Neto'!AH80</f>
        <v/>
      </c>
      <c r="AI81" s="681" t="n"/>
      <c r="AJ81" s="681" t="n"/>
      <c r="AK81" s="681" t="n"/>
      <c r="AL81" s="681" t="n"/>
      <c r="AM81" s="681" t="n"/>
      <c r="AN81" s="681" t="n"/>
      <c r="AO81" s="681" t="n"/>
    </row>
    <row r="82" ht="14" customHeight="1" s="549">
      <c r="A82" s="686" t="n"/>
      <c r="B82" s="686" t="inlineStr">
        <is>
          <t>Factura</t>
        </is>
      </c>
      <c r="C82" s="788" t="inlineStr">
        <is>
          <t>1.5</t>
        </is>
      </c>
      <c r="D82" s="789" t="inlineStr">
        <is>
          <t>Software Monitoreo</t>
        </is>
      </c>
      <c r="E82" s="790">
        <f>+E10</f>
        <v/>
      </c>
      <c r="F82" s="791">
        <f>+Supuestos!H13</f>
        <v/>
      </c>
      <c r="G82" s="686" t="n"/>
      <c r="H82" s="800">
        <f>+'Flujo Neto'!H81</f>
        <v/>
      </c>
      <c r="I82" s="800">
        <f>+'Flujo Neto'!I81</f>
        <v/>
      </c>
      <c r="J82" s="800">
        <f>+'Flujo Neto'!J81</f>
        <v/>
      </c>
      <c r="K82" s="800">
        <f>+'Flujo Neto'!K81</f>
        <v/>
      </c>
      <c r="L82" s="800">
        <f>+'Flujo Neto'!L81</f>
        <v/>
      </c>
      <c r="M82" s="800">
        <f>+'Flujo Neto'!M81</f>
        <v/>
      </c>
      <c r="N82" s="800">
        <f>+'Flujo Neto'!N81</f>
        <v/>
      </c>
      <c r="O82" s="800">
        <f>+'Flujo Neto'!O81</f>
        <v/>
      </c>
      <c r="P82" s="800">
        <f>+'Flujo Neto'!P81</f>
        <v/>
      </c>
      <c r="Q82" s="800">
        <f>+'Flujo Neto'!Q81</f>
        <v/>
      </c>
      <c r="R82" s="800">
        <f>+'Flujo Neto'!R81</f>
        <v/>
      </c>
      <c r="S82" s="800">
        <f>+'Flujo Neto'!S81</f>
        <v/>
      </c>
      <c r="T82" s="800">
        <f>+'Flujo Neto'!T81</f>
        <v/>
      </c>
      <c r="U82" s="800" t="n"/>
      <c r="V82" s="800">
        <f>+'Flujo Neto'!V81</f>
        <v/>
      </c>
      <c r="W82" s="800">
        <f>+'Flujo Neto'!W81</f>
        <v/>
      </c>
      <c r="X82" s="800">
        <f>+'Flujo Neto'!X81</f>
        <v/>
      </c>
      <c r="Y82" s="800">
        <f>+'Flujo Neto'!Y81</f>
        <v/>
      </c>
      <c r="Z82" s="800">
        <f>+'Flujo Neto'!Z81</f>
        <v/>
      </c>
      <c r="AA82" s="800">
        <f>+'Flujo Neto'!AA81</f>
        <v/>
      </c>
      <c r="AB82" s="800">
        <f>+'Flujo Neto'!AB81</f>
        <v/>
      </c>
      <c r="AC82" s="800">
        <f>+'Flujo Neto'!AC81</f>
        <v/>
      </c>
      <c r="AD82" s="800">
        <f>+'Flujo Neto'!AD81</f>
        <v/>
      </c>
      <c r="AE82" s="800">
        <f>+'Flujo Neto'!AE81</f>
        <v/>
      </c>
      <c r="AF82" s="800">
        <f>+'Flujo Neto'!AF81</f>
        <v/>
      </c>
      <c r="AG82" s="800">
        <f>+'Flujo Neto'!AG81</f>
        <v/>
      </c>
      <c r="AH82" s="800">
        <f>+'Flujo Neto'!AH81</f>
        <v/>
      </c>
      <c r="AI82" s="686" t="n"/>
      <c r="AJ82" s="686" t="n"/>
      <c r="AK82" s="686" t="n"/>
      <c r="AL82" s="686" t="n"/>
      <c r="AM82" s="686" t="n"/>
      <c r="AN82" s="686" t="n"/>
      <c r="AO82" s="686" t="n"/>
    </row>
    <row r="83" ht="14" customHeight="1" s="549">
      <c r="A83" s="681" t="n"/>
      <c r="B83" s="681" t="inlineStr">
        <is>
          <t>Factura</t>
        </is>
      </c>
      <c r="C83" s="783" t="inlineStr">
        <is>
          <t>1.6</t>
        </is>
      </c>
      <c r="D83" s="784" t="inlineStr">
        <is>
          <t>Repuestos</t>
        </is>
      </c>
      <c r="E83" s="785">
        <f>+E11</f>
        <v/>
      </c>
      <c r="F83" s="786">
        <f>+Supuestos!H14</f>
        <v/>
      </c>
      <c r="G83" s="681" t="n"/>
      <c r="H83" s="799">
        <f>+'Flujo Neto'!H82</f>
        <v/>
      </c>
      <c r="I83" s="799">
        <f>+'Flujo Neto'!I82</f>
        <v/>
      </c>
      <c r="J83" s="799">
        <f>+'Flujo Neto'!J82</f>
        <v/>
      </c>
      <c r="K83" s="799">
        <f>+'Flujo Neto'!K82</f>
        <v/>
      </c>
      <c r="L83" s="799">
        <f>+'Flujo Neto'!L82</f>
        <v/>
      </c>
      <c r="M83" s="799">
        <f>+'Flujo Neto'!M82</f>
        <v/>
      </c>
      <c r="N83" s="799">
        <f>+'Flujo Neto'!N82</f>
        <v/>
      </c>
      <c r="O83" s="799">
        <f>+'Flujo Neto'!O82</f>
        <v/>
      </c>
      <c r="P83" s="799">
        <f>+'Flujo Neto'!P82</f>
        <v/>
      </c>
      <c r="Q83" s="799">
        <f>+'Flujo Neto'!Q82</f>
        <v/>
      </c>
      <c r="R83" s="799">
        <f>+'Flujo Neto'!R82</f>
        <v/>
      </c>
      <c r="S83" s="799">
        <f>+'Flujo Neto'!S82</f>
        <v/>
      </c>
      <c r="T83" s="799">
        <f>+'Flujo Neto'!T82</f>
        <v/>
      </c>
      <c r="U83" s="799" t="n"/>
      <c r="V83" s="799">
        <f>+'Flujo Neto'!V82</f>
        <v/>
      </c>
      <c r="W83" s="799">
        <f>+'Flujo Neto'!W82</f>
        <v/>
      </c>
      <c r="X83" s="799">
        <f>+'Flujo Neto'!X82</f>
        <v/>
      </c>
      <c r="Y83" s="799">
        <f>+'Flujo Neto'!Y82</f>
        <v/>
      </c>
      <c r="Z83" s="799">
        <f>+'Flujo Neto'!Z82</f>
        <v/>
      </c>
      <c r="AA83" s="799">
        <f>+'Flujo Neto'!AA82</f>
        <v/>
      </c>
      <c r="AB83" s="799">
        <f>+'Flujo Neto'!AB82</f>
        <v/>
      </c>
      <c r="AC83" s="799">
        <f>+'Flujo Neto'!AC82</f>
        <v/>
      </c>
      <c r="AD83" s="799">
        <f>+'Flujo Neto'!AD82</f>
        <v/>
      </c>
      <c r="AE83" s="799">
        <f>+'Flujo Neto'!AE82</f>
        <v/>
      </c>
      <c r="AF83" s="799">
        <f>+'Flujo Neto'!AF82</f>
        <v/>
      </c>
      <c r="AG83" s="799">
        <f>+'Flujo Neto'!AG82</f>
        <v/>
      </c>
      <c r="AH83" s="799">
        <f>+'Flujo Neto'!AH82</f>
        <v/>
      </c>
      <c r="AI83" s="681" t="n"/>
      <c r="AJ83" s="681" t="n"/>
      <c r="AK83" s="681" t="n"/>
      <c r="AL83" s="681" t="n"/>
      <c r="AM83" s="681" t="n"/>
      <c r="AN83" s="681" t="n"/>
      <c r="AO83" s="681" t="n"/>
    </row>
    <row r="84" ht="14" customHeight="1" s="549">
      <c r="A84" s="686" t="n"/>
      <c r="B84" s="686" t="inlineStr">
        <is>
          <t>Factura</t>
        </is>
      </c>
      <c r="C84" s="788" t="inlineStr">
        <is>
          <t>1.7</t>
        </is>
      </c>
      <c r="D84" s="789" t="inlineStr">
        <is>
          <t>Flete</t>
        </is>
      </c>
      <c r="E84" s="790">
        <f>+E12</f>
        <v/>
      </c>
      <c r="F84" s="791">
        <f>+Supuestos!H15</f>
        <v/>
      </c>
      <c r="G84" s="686" t="n"/>
      <c r="H84" s="800">
        <f>+'Flujo Neto'!H83</f>
        <v/>
      </c>
      <c r="I84" s="800">
        <f>+'Flujo Neto'!I83</f>
        <v/>
      </c>
      <c r="J84" s="800">
        <f>+'Flujo Neto'!J83</f>
        <v/>
      </c>
      <c r="K84" s="800">
        <f>+'Flujo Neto'!K83</f>
        <v/>
      </c>
      <c r="L84" s="800">
        <f>+'Flujo Neto'!L83</f>
        <v/>
      </c>
      <c r="M84" s="800">
        <f>+'Flujo Neto'!M83</f>
        <v/>
      </c>
      <c r="N84" s="800">
        <f>+'Flujo Neto'!N83</f>
        <v/>
      </c>
      <c r="O84" s="800">
        <f>+'Flujo Neto'!O83</f>
        <v/>
      </c>
      <c r="P84" s="800">
        <f>+'Flujo Neto'!P83</f>
        <v/>
      </c>
      <c r="Q84" s="800">
        <f>+'Flujo Neto'!Q83</f>
        <v/>
      </c>
      <c r="R84" s="800">
        <f>+'Flujo Neto'!R83</f>
        <v/>
      </c>
      <c r="S84" s="800">
        <f>+'Flujo Neto'!S83</f>
        <v/>
      </c>
      <c r="T84" s="800">
        <f>+'Flujo Neto'!T83</f>
        <v/>
      </c>
      <c r="U84" s="800" t="n"/>
      <c r="V84" s="800">
        <f>+'Flujo Neto'!V83</f>
        <v/>
      </c>
      <c r="W84" s="800">
        <f>+'Flujo Neto'!W83</f>
        <v/>
      </c>
      <c r="X84" s="800">
        <f>+'Flujo Neto'!X83</f>
        <v/>
      </c>
      <c r="Y84" s="800">
        <f>+'Flujo Neto'!Y83</f>
        <v/>
      </c>
      <c r="Z84" s="800">
        <f>+'Flujo Neto'!Z83</f>
        <v/>
      </c>
      <c r="AA84" s="800">
        <f>+'Flujo Neto'!AA83</f>
        <v/>
      </c>
      <c r="AB84" s="800">
        <f>+'Flujo Neto'!AB83</f>
        <v/>
      </c>
      <c r="AC84" s="800">
        <f>+'Flujo Neto'!AC83</f>
        <v/>
      </c>
      <c r="AD84" s="800">
        <f>+'Flujo Neto'!AD83</f>
        <v/>
      </c>
      <c r="AE84" s="800">
        <f>+'Flujo Neto'!AE83</f>
        <v/>
      </c>
      <c r="AF84" s="800">
        <f>+'Flujo Neto'!AF83</f>
        <v/>
      </c>
      <c r="AG84" s="800">
        <f>+'Flujo Neto'!AG83</f>
        <v/>
      </c>
      <c r="AH84" s="800">
        <f>+'Flujo Neto'!AH83</f>
        <v/>
      </c>
      <c r="AI84" s="686" t="n"/>
      <c r="AJ84" s="686" t="n"/>
      <c r="AK84" s="686" t="n"/>
      <c r="AL84" s="686" t="n"/>
      <c r="AM84" s="686" t="n"/>
      <c r="AN84" s="686" t="n"/>
      <c r="AO84" s="686" t="n"/>
    </row>
    <row r="85" ht="14" customHeight="1" s="549">
      <c r="A85" s="681" t="n"/>
      <c r="B85" s="681" t="inlineStr">
        <is>
          <t>Factura</t>
        </is>
      </c>
      <c r="C85" s="783" t="inlineStr">
        <is>
          <t>7.2</t>
        </is>
      </c>
      <c r="D85" s="784" t="inlineStr">
        <is>
          <t>Transporte DESCONSOLIDADO</t>
        </is>
      </c>
      <c r="E85" s="785">
        <f>+E13</f>
        <v/>
      </c>
      <c r="F85" s="784" t="n"/>
      <c r="G85" s="681" t="n"/>
      <c r="H85" s="799">
        <f>+'Flujo Neto'!H84</f>
        <v/>
      </c>
      <c r="I85" s="799">
        <f>+'Flujo Neto'!I84</f>
        <v/>
      </c>
      <c r="J85" s="799">
        <f>+'Flujo Neto'!J84</f>
        <v/>
      </c>
      <c r="K85" s="799">
        <f>+'Flujo Neto'!K84</f>
        <v/>
      </c>
      <c r="L85" s="799">
        <f>+'Flujo Neto'!L84</f>
        <v/>
      </c>
      <c r="M85" s="799">
        <f>+'Flujo Neto'!M84</f>
        <v/>
      </c>
      <c r="N85" s="799">
        <f>+'Flujo Neto'!N84</f>
        <v/>
      </c>
      <c r="O85" s="799">
        <f>+'Flujo Neto'!O84</f>
        <v/>
      </c>
      <c r="P85" s="799">
        <f>+'Flujo Neto'!P84</f>
        <v/>
      </c>
      <c r="Q85" s="799">
        <f>+'Flujo Neto'!Q84</f>
        <v/>
      </c>
      <c r="R85" s="799">
        <f>+'Flujo Neto'!R84</f>
        <v/>
      </c>
      <c r="S85" s="799">
        <f>+'Flujo Neto'!S84</f>
        <v/>
      </c>
      <c r="T85" s="799">
        <f>+'Flujo Neto'!T84</f>
        <v/>
      </c>
      <c r="U85" s="799" t="n"/>
      <c r="V85" s="799">
        <f>+'Flujo Neto'!V84</f>
        <v/>
      </c>
      <c r="W85" s="799">
        <f>+'Flujo Neto'!W84</f>
        <v/>
      </c>
      <c r="X85" s="799">
        <f>+'Flujo Neto'!X84</f>
        <v/>
      </c>
      <c r="Y85" s="799">
        <f>+'Flujo Neto'!Y84</f>
        <v/>
      </c>
      <c r="Z85" s="799">
        <f>+'Flujo Neto'!Z84</f>
        <v/>
      </c>
      <c r="AA85" s="799">
        <f>+'Flujo Neto'!AA84</f>
        <v/>
      </c>
      <c r="AB85" s="799">
        <f>+'Flujo Neto'!AB84</f>
        <v/>
      </c>
      <c r="AC85" s="799">
        <f>+'Flujo Neto'!AC84</f>
        <v/>
      </c>
      <c r="AD85" s="799">
        <f>+'Flujo Neto'!AD84</f>
        <v/>
      </c>
      <c r="AE85" s="799">
        <f>+'Flujo Neto'!AE84</f>
        <v/>
      </c>
      <c r="AF85" s="799">
        <f>+'Flujo Neto'!AF84</f>
        <v/>
      </c>
      <c r="AG85" s="799">
        <f>+'Flujo Neto'!AG84</f>
        <v/>
      </c>
      <c r="AH85" s="799">
        <f>+'Flujo Neto'!AH84</f>
        <v/>
      </c>
      <c r="AI85" s="681" t="n"/>
      <c r="AJ85" s="681" t="n"/>
      <c r="AK85" s="681" t="n"/>
      <c r="AL85" s="681" t="n"/>
      <c r="AM85" s="681" t="n"/>
      <c r="AN85" s="681" t="n"/>
      <c r="AO85" s="681" t="n"/>
    </row>
    <row r="86" ht="14" customHeight="1" s="549">
      <c r="A86" s="686" t="n"/>
      <c r="B86" s="686" t="inlineStr">
        <is>
          <t>Factura</t>
        </is>
      </c>
      <c r="C86" s="788" t="inlineStr">
        <is>
          <t>7.5</t>
        </is>
      </c>
      <c r="D86" s="789" t="inlineStr">
        <is>
          <t>Grúa en Origen</t>
        </is>
      </c>
      <c r="E86" s="790">
        <f>+E14</f>
        <v/>
      </c>
      <c r="F86" s="789" t="n"/>
      <c r="G86" s="686" t="n"/>
      <c r="H86" s="800">
        <f>+'Flujo Neto'!H85</f>
        <v/>
      </c>
      <c r="I86" s="800">
        <f>+'Flujo Neto'!I85</f>
        <v/>
      </c>
      <c r="J86" s="800">
        <f>+'Flujo Neto'!J85</f>
        <v/>
      </c>
      <c r="K86" s="800">
        <f>+'Flujo Neto'!K85</f>
        <v/>
      </c>
      <c r="L86" s="800">
        <f>+'Flujo Neto'!L85</f>
        <v/>
      </c>
      <c r="M86" s="800">
        <f>+'Flujo Neto'!M85</f>
        <v/>
      </c>
      <c r="N86" s="800">
        <f>+'Flujo Neto'!N85</f>
        <v/>
      </c>
      <c r="O86" s="800">
        <f>+'Flujo Neto'!O85</f>
        <v/>
      </c>
      <c r="P86" s="800">
        <f>+'Flujo Neto'!P85</f>
        <v/>
      </c>
      <c r="Q86" s="800">
        <f>+'Flujo Neto'!Q85</f>
        <v/>
      </c>
      <c r="R86" s="800">
        <f>+'Flujo Neto'!R85</f>
        <v/>
      </c>
      <c r="S86" s="800">
        <f>+'Flujo Neto'!S85</f>
        <v/>
      </c>
      <c r="T86" s="800">
        <f>+'Flujo Neto'!T85</f>
        <v/>
      </c>
      <c r="U86" s="800" t="n"/>
      <c r="V86" s="800">
        <f>+'Flujo Neto'!V85</f>
        <v/>
      </c>
      <c r="W86" s="800">
        <f>+'Flujo Neto'!W85</f>
        <v/>
      </c>
      <c r="X86" s="800">
        <f>+'Flujo Neto'!X85</f>
        <v/>
      </c>
      <c r="Y86" s="800">
        <f>+'Flujo Neto'!Y85</f>
        <v/>
      </c>
      <c r="Z86" s="800">
        <f>+'Flujo Neto'!Z85</f>
        <v/>
      </c>
      <c r="AA86" s="800">
        <f>+'Flujo Neto'!AA85</f>
        <v/>
      </c>
      <c r="AB86" s="800">
        <f>+'Flujo Neto'!AB85</f>
        <v/>
      </c>
      <c r="AC86" s="800">
        <f>+'Flujo Neto'!AC85</f>
        <v/>
      </c>
      <c r="AD86" s="800">
        <f>+'Flujo Neto'!AD85</f>
        <v/>
      </c>
      <c r="AE86" s="800">
        <f>+'Flujo Neto'!AE85</f>
        <v/>
      </c>
      <c r="AF86" s="800">
        <f>+'Flujo Neto'!AF85</f>
        <v/>
      </c>
      <c r="AG86" s="800">
        <f>+'Flujo Neto'!AG85</f>
        <v/>
      </c>
      <c r="AH86" s="800">
        <f>+'Flujo Neto'!AH85</f>
        <v/>
      </c>
      <c r="AI86" s="686" t="n"/>
      <c r="AJ86" s="686" t="n"/>
      <c r="AK86" s="686" t="n"/>
      <c r="AL86" s="686" t="n"/>
      <c r="AM86" s="686" t="n"/>
      <c r="AN86" s="686" t="n"/>
      <c r="AO86" s="686" t="n"/>
    </row>
    <row r="87" ht="14" customHeight="1" s="549">
      <c r="A87" s="681" t="n"/>
      <c r="B87" s="681" t="inlineStr">
        <is>
          <t>Factura</t>
        </is>
      </c>
      <c r="C87" s="783" t="inlineStr">
        <is>
          <t>7.6</t>
        </is>
      </c>
      <c r="D87" s="784" t="inlineStr">
        <is>
          <t>Grúa en Punto Destino (6 Horas)</t>
        </is>
      </c>
      <c r="E87" s="785">
        <f>+E15</f>
        <v/>
      </c>
      <c r="F87" s="784" t="n"/>
      <c r="G87" s="681" t="n"/>
      <c r="H87" s="799">
        <f>+'Flujo Neto'!H86</f>
        <v/>
      </c>
      <c r="I87" s="799">
        <f>+'Flujo Neto'!I86</f>
        <v/>
      </c>
      <c r="J87" s="799">
        <f>+'Flujo Neto'!J86</f>
        <v/>
      </c>
      <c r="K87" s="799">
        <f>+'Flujo Neto'!K86</f>
        <v/>
      </c>
      <c r="L87" s="799">
        <f>+'Flujo Neto'!L86</f>
        <v/>
      </c>
      <c r="M87" s="799">
        <f>+'Flujo Neto'!M86</f>
        <v/>
      </c>
      <c r="N87" s="799">
        <f>+'Flujo Neto'!N86</f>
        <v/>
      </c>
      <c r="O87" s="799">
        <f>+'Flujo Neto'!O86</f>
        <v/>
      </c>
      <c r="P87" s="799">
        <f>+'Flujo Neto'!P86</f>
        <v/>
      </c>
      <c r="Q87" s="799">
        <f>+'Flujo Neto'!Q86</f>
        <v/>
      </c>
      <c r="R87" s="799">
        <f>+'Flujo Neto'!R86</f>
        <v/>
      </c>
      <c r="S87" s="799">
        <f>+'Flujo Neto'!S86</f>
        <v/>
      </c>
      <c r="T87" s="799">
        <f>+'Flujo Neto'!T86</f>
        <v/>
      </c>
      <c r="U87" s="799" t="n"/>
      <c r="V87" s="799">
        <f>+'Flujo Neto'!V86</f>
        <v/>
      </c>
      <c r="W87" s="799">
        <f>+'Flujo Neto'!W86</f>
        <v/>
      </c>
      <c r="X87" s="799">
        <f>+'Flujo Neto'!X86</f>
        <v/>
      </c>
      <c r="Y87" s="799">
        <f>+'Flujo Neto'!Y86</f>
        <v/>
      </c>
      <c r="Z87" s="799">
        <f>+'Flujo Neto'!Z86</f>
        <v/>
      </c>
      <c r="AA87" s="799">
        <f>+'Flujo Neto'!AA86</f>
        <v/>
      </c>
      <c r="AB87" s="799">
        <f>+'Flujo Neto'!AB86</f>
        <v/>
      </c>
      <c r="AC87" s="799">
        <f>+'Flujo Neto'!AC86</f>
        <v/>
      </c>
      <c r="AD87" s="799">
        <f>+'Flujo Neto'!AD86</f>
        <v/>
      </c>
      <c r="AE87" s="799">
        <f>+'Flujo Neto'!AE86</f>
        <v/>
      </c>
      <c r="AF87" s="799">
        <f>+'Flujo Neto'!AF86</f>
        <v/>
      </c>
      <c r="AG87" s="799">
        <f>+'Flujo Neto'!AG86</f>
        <v/>
      </c>
      <c r="AH87" s="799">
        <f>+'Flujo Neto'!AH86</f>
        <v/>
      </c>
      <c r="AI87" s="681" t="n"/>
      <c r="AJ87" s="681" t="n"/>
      <c r="AK87" s="681" t="n"/>
      <c r="AL87" s="681" t="n"/>
      <c r="AM87" s="681" t="n"/>
      <c r="AN87" s="681" t="n"/>
      <c r="AO87" s="681" t="n"/>
    </row>
    <row r="88" ht="14" customHeight="1" s="549">
      <c r="A88" s="686" t="n"/>
      <c r="B88" s="686" t="n"/>
      <c r="C88" s="771" t="n">
        <v>2</v>
      </c>
      <c r="D88" s="682" t="inlineStr">
        <is>
          <t>Insumos Instalación</t>
        </is>
      </c>
      <c r="E88" s="780">
        <f>+E16</f>
        <v/>
      </c>
      <c r="F88" s="682" t="n"/>
      <c r="G88" s="686" t="n"/>
      <c r="H88" s="800">
        <f>+'Flujo Neto'!H87</f>
        <v/>
      </c>
      <c r="I88" s="800">
        <f>+'Flujo Neto'!I87</f>
        <v/>
      </c>
      <c r="J88" s="800">
        <f>+'Flujo Neto'!J87</f>
        <v/>
      </c>
      <c r="K88" s="800">
        <f>+'Flujo Neto'!K87</f>
        <v/>
      </c>
      <c r="L88" s="800">
        <f>+'Flujo Neto'!L87</f>
        <v/>
      </c>
      <c r="M88" s="800">
        <f>+'Flujo Neto'!M87</f>
        <v/>
      </c>
      <c r="N88" s="800">
        <f>+'Flujo Neto'!N87</f>
        <v/>
      </c>
      <c r="O88" s="800">
        <f>+'Flujo Neto'!O87</f>
        <v/>
      </c>
      <c r="P88" s="800">
        <f>+'Flujo Neto'!P87</f>
        <v/>
      </c>
      <c r="Q88" s="800">
        <f>+'Flujo Neto'!Q87</f>
        <v/>
      </c>
      <c r="R88" s="800">
        <f>+'Flujo Neto'!R87</f>
        <v/>
      </c>
      <c r="S88" s="800">
        <f>+'Flujo Neto'!S87</f>
        <v/>
      </c>
      <c r="T88" s="800">
        <f>+'Flujo Neto'!T87</f>
        <v/>
      </c>
      <c r="U88" s="800" t="n"/>
      <c r="V88" s="800">
        <f>+'Flujo Neto'!V87</f>
        <v/>
      </c>
      <c r="W88" s="800">
        <f>+'Flujo Neto'!W87</f>
        <v/>
      </c>
      <c r="X88" s="800">
        <f>+'Flujo Neto'!X87</f>
        <v/>
      </c>
      <c r="Y88" s="800">
        <f>+'Flujo Neto'!Y87</f>
        <v/>
      </c>
      <c r="Z88" s="800">
        <f>+'Flujo Neto'!Z87</f>
        <v/>
      </c>
      <c r="AA88" s="800">
        <f>+'Flujo Neto'!AA87</f>
        <v/>
      </c>
      <c r="AB88" s="800">
        <f>+'Flujo Neto'!AB87</f>
        <v/>
      </c>
      <c r="AC88" s="800">
        <f>+'Flujo Neto'!AC87</f>
        <v/>
      </c>
      <c r="AD88" s="800">
        <f>+'Flujo Neto'!AD87</f>
        <v/>
      </c>
      <c r="AE88" s="800">
        <f>+'Flujo Neto'!AE87</f>
        <v/>
      </c>
      <c r="AF88" s="800">
        <f>+'Flujo Neto'!AF87</f>
        <v/>
      </c>
      <c r="AG88" s="800">
        <f>+'Flujo Neto'!AG87</f>
        <v/>
      </c>
      <c r="AH88" s="800">
        <f>+'Flujo Neto'!AH87</f>
        <v/>
      </c>
      <c r="AI88" s="686" t="n"/>
      <c r="AJ88" s="686" t="n"/>
      <c r="AK88" s="686" t="n"/>
      <c r="AL88" s="686" t="n"/>
      <c r="AM88" s="686" t="n"/>
      <c r="AN88" s="686" t="n"/>
      <c r="AO88" s="686" t="n"/>
    </row>
    <row r="89" ht="14" customHeight="1" s="549">
      <c r="A89" s="681" t="n"/>
      <c r="B89" s="681" t="inlineStr">
        <is>
          <t>Factura</t>
        </is>
      </c>
      <c r="C89" s="783" t="inlineStr">
        <is>
          <t>2.1</t>
        </is>
      </c>
      <c r="D89" s="784" t="inlineStr">
        <is>
          <t>Estructura</t>
        </is>
      </c>
      <c r="E89" s="785">
        <f>+E17</f>
        <v/>
      </c>
      <c r="F89" s="784">
        <f>+Supuestos!H20</f>
        <v/>
      </c>
      <c r="G89" s="681" t="n"/>
      <c r="H89" s="799">
        <f>+'Flujo Neto'!H88</f>
        <v/>
      </c>
      <c r="I89" s="799">
        <f>+'Flujo Neto'!I88</f>
        <v/>
      </c>
      <c r="J89" s="799">
        <f>+'Flujo Neto'!J88</f>
        <v/>
      </c>
      <c r="K89" s="799">
        <f>+'Flujo Neto'!K88</f>
        <v/>
      </c>
      <c r="L89" s="799">
        <f>+'Flujo Neto'!L88</f>
        <v/>
      </c>
      <c r="M89" s="799">
        <f>+'Flujo Neto'!M88</f>
        <v/>
      </c>
      <c r="N89" s="799">
        <f>+'Flujo Neto'!N88</f>
        <v/>
      </c>
      <c r="O89" s="799">
        <f>+'Flujo Neto'!O88</f>
        <v/>
      </c>
      <c r="P89" s="799">
        <f>+'Flujo Neto'!P88</f>
        <v/>
      </c>
      <c r="Q89" s="799">
        <f>+'Flujo Neto'!Q88</f>
        <v/>
      </c>
      <c r="R89" s="799">
        <f>+'Flujo Neto'!R88</f>
        <v/>
      </c>
      <c r="S89" s="799">
        <f>+'Flujo Neto'!S88</f>
        <v/>
      </c>
      <c r="T89" s="799">
        <f>+'Flujo Neto'!T88</f>
        <v/>
      </c>
      <c r="U89" s="799" t="n"/>
      <c r="V89" s="799">
        <f>+'Flujo Neto'!V88</f>
        <v/>
      </c>
      <c r="W89" s="799">
        <f>+'Flujo Neto'!W88</f>
        <v/>
      </c>
      <c r="X89" s="799">
        <f>+'Flujo Neto'!X88</f>
        <v/>
      </c>
      <c r="Y89" s="799">
        <f>+'Flujo Neto'!Y88</f>
        <v/>
      </c>
      <c r="Z89" s="799">
        <f>+'Flujo Neto'!Z88</f>
        <v/>
      </c>
      <c r="AA89" s="799">
        <f>+'Flujo Neto'!AA88</f>
        <v/>
      </c>
      <c r="AB89" s="799">
        <f>+'Flujo Neto'!AB88</f>
        <v/>
      </c>
      <c r="AC89" s="799">
        <f>+'Flujo Neto'!AC88</f>
        <v/>
      </c>
      <c r="AD89" s="799">
        <f>+'Flujo Neto'!AD88</f>
        <v/>
      </c>
      <c r="AE89" s="799">
        <f>+'Flujo Neto'!AE88</f>
        <v/>
      </c>
      <c r="AF89" s="799">
        <f>+'Flujo Neto'!AF88</f>
        <v/>
      </c>
      <c r="AG89" s="799">
        <f>+'Flujo Neto'!AG88</f>
        <v/>
      </c>
      <c r="AH89" s="799">
        <f>+'Flujo Neto'!AH88</f>
        <v/>
      </c>
      <c r="AI89" s="681" t="n"/>
      <c r="AJ89" s="681" t="n"/>
      <c r="AK89" s="681" t="n"/>
      <c r="AL89" s="681" t="n"/>
      <c r="AM89" s="681" t="n"/>
      <c r="AN89" s="681" t="n"/>
      <c r="AO89" s="681" t="n"/>
    </row>
    <row r="90" ht="14" customHeight="1" s="549">
      <c r="A90" s="686" t="n"/>
      <c r="B90" s="686" t="inlineStr">
        <is>
          <t xml:space="preserve">Factura o Boleta </t>
        </is>
      </c>
      <c r="C90" s="788" t="inlineStr">
        <is>
          <t>2.2</t>
        </is>
      </c>
      <c r="D90" s="789" t="inlineStr">
        <is>
          <t>Materiales instalación</t>
        </is>
      </c>
      <c r="E90" s="790">
        <f>+E18</f>
        <v/>
      </c>
      <c r="F90" s="789">
        <f>+Supuestos!H21</f>
        <v/>
      </c>
      <c r="G90" s="686" t="n"/>
      <c r="H90" s="800">
        <f>+'Flujo Neto'!H89</f>
        <v/>
      </c>
      <c r="I90" s="800">
        <f>+'Flujo Neto'!I89</f>
        <v/>
      </c>
      <c r="J90" s="800">
        <f>+'Flujo Neto'!J89</f>
        <v/>
      </c>
      <c r="K90" s="800">
        <f>+'Flujo Neto'!K89</f>
        <v/>
      </c>
      <c r="L90" s="800">
        <f>+'Flujo Neto'!L89</f>
        <v/>
      </c>
      <c r="M90" s="800">
        <f>+'Flujo Neto'!M89</f>
        <v/>
      </c>
      <c r="N90" s="800">
        <f>+'Flujo Neto'!N89</f>
        <v/>
      </c>
      <c r="O90" s="800">
        <f>+'Flujo Neto'!O89</f>
        <v/>
      </c>
      <c r="P90" s="800">
        <f>+'Flujo Neto'!P89</f>
        <v/>
      </c>
      <c r="Q90" s="800">
        <f>+'Flujo Neto'!Q89</f>
        <v/>
      </c>
      <c r="R90" s="800">
        <f>+'Flujo Neto'!R89</f>
        <v/>
      </c>
      <c r="S90" s="800">
        <f>+'Flujo Neto'!S89</f>
        <v/>
      </c>
      <c r="T90" s="800">
        <f>+'Flujo Neto'!T89</f>
        <v/>
      </c>
      <c r="U90" s="800" t="n"/>
      <c r="V90" s="800">
        <f>+'Flujo Neto'!V89</f>
        <v/>
      </c>
      <c r="W90" s="800">
        <f>+'Flujo Neto'!W89</f>
        <v/>
      </c>
      <c r="X90" s="800">
        <f>+'Flujo Neto'!X89</f>
        <v/>
      </c>
      <c r="Y90" s="800">
        <f>+'Flujo Neto'!Y89</f>
        <v/>
      </c>
      <c r="Z90" s="800">
        <f>+'Flujo Neto'!Z89</f>
        <v/>
      </c>
      <c r="AA90" s="800">
        <f>+'Flujo Neto'!AA89</f>
        <v/>
      </c>
      <c r="AB90" s="800">
        <f>+'Flujo Neto'!AB89</f>
        <v/>
      </c>
      <c r="AC90" s="800">
        <f>+'Flujo Neto'!AC89</f>
        <v/>
      </c>
      <c r="AD90" s="800">
        <f>+'Flujo Neto'!AD89</f>
        <v/>
      </c>
      <c r="AE90" s="800">
        <f>+'Flujo Neto'!AE89</f>
        <v/>
      </c>
      <c r="AF90" s="800">
        <f>+'Flujo Neto'!AF89</f>
        <v/>
      </c>
      <c r="AG90" s="800">
        <f>+'Flujo Neto'!AG89</f>
        <v/>
      </c>
      <c r="AH90" s="800">
        <f>+'Flujo Neto'!AH89</f>
        <v/>
      </c>
      <c r="AI90" s="686" t="n"/>
      <c r="AJ90" s="686" t="n"/>
      <c r="AK90" s="686" t="n"/>
      <c r="AL90" s="686" t="n"/>
      <c r="AM90" s="686" t="n"/>
      <c r="AN90" s="686" t="n"/>
      <c r="AO90" s="686" t="n"/>
    </row>
    <row r="91" ht="14" customHeight="1" s="549">
      <c r="A91" s="681" t="n"/>
      <c r="B91" s="681" t="inlineStr">
        <is>
          <t xml:space="preserve">Factura o Boleta </t>
        </is>
      </c>
      <c r="C91" s="783" t="inlineStr">
        <is>
          <t>2.3</t>
        </is>
      </c>
      <c r="D91" s="784" t="inlineStr">
        <is>
          <t>Herramientas</t>
        </is>
      </c>
      <c r="E91" s="785">
        <f>+E19</f>
        <v/>
      </c>
      <c r="F91" s="784">
        <f>+Supuestos!H22</f>
        <v/>
      </c>
      <c r="G91" s="681" t="n"/>
      <c r="H91" s="799">
        <f>+'Flujo Neto'!H90</f>
        <v/>
      </c>
      <c r="I91" s="799">
        <f>+'Flujo Neto'!I90</f>
        <v/>
      </c>
      <c r="J91" s="799">
        <f>+'Flujo Neto'!J90</f>
        <v/>
      </c>
      <c r="K91" s="799">
        <f>+'Flujo Neto'!K90</f>
        <v/>
      </c>
      <c r="L91" s="799">
        <f>+'Flujo Neto'!L90</f>
        <v/>
      </c>
      <c r="M91" s="799">
        <f>+'Flujo Neto'!M90</f>
        <v/>
      </c>
      <c r="N91" s="799">
        <f>+'Flujo Neto'!N90</f>
        <v/>
      </c>
      <c r="O91" s="799">
        <f>+'Flujo Neto'!O90</f>
        <v/>
      </c>
      <c r="P91" s="799">
        <f>+'Flujo Neto'!P90</f>
        <v/>
      </c>
      <c r="Q91" s="799">
        <f>+'Flujo Neto'!Q90</f>
        <v/>
      </c>
      <c r="R91" s="799">
        <f>+'Flujo Neto'!R90</f>
        <v/>
      </c>
      <c r="S91" s="799">
        <f>+'Flujo Neto'!S90</f>
        <v/>
      </c>
      <c r="T91" s="799">
        <f>+'Flujo Neto'!T90</f>
        <v/>
      </c>
      <c r="U91" s="799" t="n"/>
      <c r="V91" s="799">
        <f>+'Flujo Neto'!V90</f>
        <v/>
      </c>
      <c r="W91" s="799">
        <f>+'Flujo Neto'!W90</f>
        <v/>
      </c>
      <c r="X91" s="799">
        <f>+'Flujo Neto'!X90</f>
        <v/>
      </c>
      <c r="Y91" s="799">
        <f>+'Flujo Neto'!Y90</f>
        <v/>
      </c>
      <c r="Z91" s="799">
        <f>+'Flujo Neto'!Z90</f>
        <v/>
      </c>
      <c r="AA91" s="799">
        <f>+'Flujo Neto'!AA90</f>
        <v/>
      </c>
      <c r="AB91" s="799">
        <f>+'Flujo Neto'!AB90</f>
        <v/>
      </c>
      <c r="AC91" s="799">
        <f>+'Flujo Neto'!AC90</f>
        <v/>
      </c>
      <c r="AD91" s="799">
        <f>+'Flujo Neto'!AD90</f>
        <v/>
      </c>
      <c r="AE91" s="799">
        <f>+'Flujo Neto'!AE90</f>
        <v/>
      </c>
      <c r="AF91" s="799">
        <f>+'Flujo Neto'!AF90</f>
        <v/>
      </c>
      <c r="AG91" s="799">
        <f>+'Flujo Neto'!AG90</f>
        <v/>
      </c>
      <c r="AH91" s="799">
        <f>+'Flujo Neto'!AH90</f>
        <v/>
      </c>
      <c r="AI91" s="681" t="n"/>
      <c r="AJ91" s="681" t="n"/>
      <c r="AK91" s="681" t="n"/>
      <c r="AL91" s="681" t="n"/>
      <c r="AM91" s="681" t="n"/>
      <c r="AN91" s="681" t="n"/>
      <c r="AO91" s="681" t="n"/>
    </row>
    <row r="92" ht="14" customHeight="1" s="549">
      <c r="A92" s="686" t="n"/>
      <c r="B92" s="686" t="n"/>
      <c r="C92" s="771" t="inlineStr">
        <is>
          <t>3.</t>
        </is>
      </c>
      <c r="D92" s="682" t="inlineStr">
        <is>
          <t>Personal y Servicios</t>
        </is>
      </c>
      <c r="E92" s="780">
        <f>+E20</f>
        <v/>
      </c>
      <c r="F92" s="682" t="n"/>
      <c r="G92" s="686" t="n"/>
      <c r="H92" s="800">
        <f>+'Flujo Neto'!H91</f>
        <v/>
      </c>
      <c r="I92" s="800">
        <f>+'Flujo Neto'!I91</f>
        <v/>
      </c>
      <c r="J92" s="800">
        <f>+'Flujo Neto'!J91</f>
        <v/>
      </c>
      <c r="K92" s="800">
        <f>+'Flujo Neto'!K91</f>
        <v/>
      </c>
      <c r="L92" s="800">
        <f>+'Flujo Neto'!L91</f>
        <v/>
      </c>
      <c r="M92" s="800">
        <f>+'Flujo Neto'!M91</f>
        <v/>
      </c>
      <c r="N92" s="800">
        <f>+'Flujo Neto'!N91</f>
        <v/>
      </c>
      <c r="O92" s="800">
        <f>+'Flujo Neto'!O91</f>
        <v/>
      </c>
      <c r="P92" s="800">
        <f>+'Flujo Neto'!P91</f>
        <v/>
      </c>
      <c r="Q92" s="800">
        <f>+'Flujo Neto'!Q91</f>
        <v/>
      </c>
      <c r="R92" s="800">
        <f>+'Flujo Neto'!R91</f>
        <v/>
      </c>
      <c r="S92" s="800">
        <f>+'Flujo Neto'!S91</f>
        <v/>
      </c>
      <c r="T92" s="800">
        <f>+'Flujo Neto'!T91</f>
        <v/>
      </c>
      <c r="U92" s="800" t="n"/>
      <c r="V92" s="800">
        <f>+'Flujo Neto'!V91</f>
        <v/>
      </c>
      <c r="W92" s="800">
        <f>+'Flujo Neto'!W91</f>
        <v/>
      </c>
      <c r="X92" s="800">
        <f>+'Flujo Neto'!X91</f>
        <v/>
      </c>
      <c r="Y92" s="800">
        <f>+'Flujo Neto'!Y91</f>
        <v/>
      </c>
      <c r="Z92" s="800">
        <f>+'Flujo Neto'!Z91</f>
        <v/>
      </c>
      <c r="AA92" s="800">
        <f>+'Flujo Neto'!AA91</f>
        <v/>
      </c>
      <c r="AB92" s="800">
        <f>+'Flujo Neto'!AB91</f>
        <v/>
      </c>
      <c r="AC92" s="800">
        <f>+'Flujo Neto'!AC91</f>
        <v/>
      </c>
      <c r="AD92" s="800">
        <f>+'Flujo Neto'!AD91</f>
        <v/>
      </c>
      <c r="AE92" s="800">
        <f>+'Flujo Neto'!AE91</f>
        <v/>
      </c>
      <c r="AF92" s="800">
        <f>+'Flujo Neto'!AF91</f>
        <v/>
      </c>
      <c r="AG92" s="800">
        <f>+'Flujo Neto'!AG91</f>
        <v/>
      </c>
      <c r="AH92" s="800">
        <f>+'Flujo Neto'!AH91</f>
        <v/>
      </c>
      <c r="AI92" s="686" t="n"/>
      <c r="AJ92" s="686" t="n"/>
      <c r="AK92" s="686" t="n"/>
      <c r="AL92" s="686" t="n"/>
      <c r="AM92" s="686" t="n"/>
      <c r="AN92" s="686" t="n"/>
      <c r="AO92" s="686" t="n"/>
    </row>
    <row r="93" ht="14" customHeight="1" s="549">
      <c r="A93" s="681" t="n"/>
      <c r="B93" s="681" t="inlineStr">
        <is>
          <t>Costo Empresa</t>
        </is>
      </c>
      <c r="C93" s="783" t="inlineStr">
        <is>
          <t>3.1</t>
        </is>
      </c>
      <c r="D93" s="784" t="inlineStr">
        <is>
          <t>Planilla Actual</t>
        </is>
      </c>
      <c r="E93" s="785">
        <f>+E21</f>
        <v/>
      </c>
      <c r="F93" s="784" t="n"/>
      <c r="G93" s="681" t="n"/>
      <c r="H93" s="799">
        <f>+'Flujo Neto'!H92</f>
        <v/>
      </c>
      <c r="I93" s="799">
        <f>+'Flujo Neto'!I92</f>
        <v/>
      </c>
      <c r="J93" s="799">
        <f>+'Flujo Neto'!J92</f>
        <v/>
      </c>
      <c r="K93" s="799">
        <f>+'Flujo Neto'!K92</f>
        <v/>
      </c>
      <c r="L93" s="799">
        <f>+'Flujo Neto'!L92</f>
        <v/>
      </c>
      <c r="M93" s="799">
        <f>+'Flujo Neto'!M92</f>
        <v/>
      </c>
      <c r="N93" s="799">
        <f>+'Flujo Neto'!N92</f>
        <v/>
      </c>
      <c r="O93" s="799">
        <f>+'Flujo Neto'!O92</f>
        <v/>
      </c>
      <c r="P93" s="799">
        <f>+'Flujo Neto'!P92</f>
        <v/>
      </c>
      <c r="Q93" s="799">
        <f>+'Flujo Neto'!Q92</f>
        <v/>
      </c>
      <c r="R93" s="799">
        <f>+'Flujo Neto'!R92</f>
        <v/>
      </c>
      <c r="S93" s="799">
        <f>+'Flujo Neto'!S92</f>
        <v/>
      </c>
      <c r="T93" s="799">
        <f>+'Flujo Neto'!T92</f>
        <v/>
      </c>
      <c r="U93" s="799" t="n"/>
      <c r="V93" s="799">
        <f>+'Flujo Neto'!V92</f>
        <v/>
      </c>
      <c r="W93" s="799" t="n"/>
      <c r="X93" s="799">
        <f>+'Flujo Neto'!X92</f>
        <v/>
      </c>
      <c r="Y93" s="799">
        <f>+'Flujo Neto'!Y92</f>
        <v/>
      </c>
      <c r="Z93" s="799">
        <f>+'Flujo Neto'!Z92</f>
        <v/>
      </c>
      <c r="AA93" s="799">
        <f>+'Flujo Neto'!AA92</f>
        <v/>
      </c>
      <c r="AB93" s="799">
        <f>+'Flujo Neto'!AB92</f>
        <v/>
      </c>
      <c r="AC93" s="799">
        <f>+'Flujo Neto'!AC92</f>
        <v/>
      </c>
      <c r="AD93" s="799">
        <f>+'Flujo Neto'!AD92</f>
        <v/>
      </c>
      <c r="AE93" s="799">
        <f>+'Flujo Neto'!AE92</f>
        <v/>
      </c>
      <c r="AF93" s="799">
        <f>+'Flujo Neto'!AF92</f>
        <v/>
      </c>
      <c r="AG93" s="799">
        <f>+'Flujo Neto'!AG92</f>
        <v/>
      </c>
      <c r="AH93" s="799">
        <f>+'Flujo Neto'!AH92</f>
        <v/>
      </c>
      <c r="AI93" s="681" t="n"/>
      <c r="AJ93" s="681" t="n"/>
      <c r="AK93" s="681" t="n"/>
      <c r="AL93" s="681" t="n"/>
      <c r="AM93" s="681" t="n"/>
      <c r="AN93" s="681" t="n"/>
      <c r="AO93" s="681" t="n"/>
    </row>
    <row r="94" ht="14" customHeight="1" s="549">
      <c r="A94" s="686" t="n"/>
      <c r="B94" s="686" t="inlineStr">
        <is>
          <t>Costo Empresa</t>
        </is>
      </c>
      <c r="C94" s="788" t="inlineStr">
        <is>
          <t>3.2</t>
        </is>
      </c>
      <c r="D94" s="789" t="inlineStr">
        <is>
          <t>Descarga estructura</t>
        </is>
      </c>
      <c r="E94" s="790">
        <f>+E22</f>
        <v/>
      </c>
      <c r="F94" s="789" t="n"/>
      <c r="G94" s="686" t="n"/>
      <c r="H94" s="800">
        <f>+'Flujo Neto'!H93</f>
        <v/>
      </c>
      <c r="I94" s="800">
        <f>+'Flujo Neto'!I93</f>
        <v/>
      </c>
      <c r="J94" s="800">
        <f>+'Flujo Neto'!J93</f>
        <v/>
      </c>
      <c r="K94" s="800">
        <f>+'Flujo Neto'!K93</f>
        <v/>
      </c>
      <c r="L94" s="800">
        <f>+'Flujo Neto'!L93</f>
        <v/>
      </c>
      <c r="M94" s="800">
        <f>+'Flujo Neto'!M93</f>
        <v/>
      </c>
      <c r="N94" s="800">
        <f>+'Flujo Neto'!N93</f>
        <v/>
      </c>
      <c r="O94" s="800">
        <f>+'Flujo Neto'!O93</f>
        <v/>
      </c>
      <c r="P94" s="800">
        <f>+'Flujo Neto'!P93</f>
        <v/>
      </c>
      <c r="Q94" s="800">
        <f>+'Flujo Neto'!Q93</f>
        <v/>
      </c>
      <c r="R94" s="800">
        <f>+'Flujo Neto'!R93</f>
        <v/>
      </c>
      <c r="S94" s="800">
        <f>+'Flujo Neto'!S93</f>
        <v/>
      </c>
      <c r="T94" s="800">
        <f>+'Flujo Neto'!T93</f>
        <v/>
      </c>
      <c r="U94" s="800" t="n"/>
      <c r="V94" s="800">
        <f>+'Flujo Neto'!V93</f>
        <v/>
      </c>
      <c r="W94" s="800" t="n"/>
      <c r="X94" s="800">
        <f>+'Flujo Neto'!X93</f>
        <v/>
      </c>
      <c r="Y94" s="800">
        <f>+'Flujo Neto'!Y93</f>
        <v/>
      </c>
      <c r="Z94" s="800">
        <f>+'Flujo Neto'!Z93</f>
        <v/>
      </c>
      <c r="AA94" s="800">
        <f>+'Flujo Neto'!AA93</f>
        <v/>
      </c>
      <c r="AB94" s="800">
        <f>+'Flujo Neto'!AB93</f>
        <v/>
      </c>
      <c r="AC94" s="800">
        <f>+'Flujo Neto'!AC93</f>
        <v/>
      </c>
      <c r="AD94" s="800">
        <f>+'Flujo Neto'!AD93</f>
        <v/>
      </c>
      <c r="AE94" s="800">
        <f>+'Flujo Neto'!AE93</f>
        <v/>
      </c>
      <c r="AF94" s="800">
        <f>+'Flujo Neto'!AF93</f>
        <v/>
      </c>
      <c r="AG94" s="800">
        <f>+'Flujo Neto'!AG93</f>
        <v/>
      </c>
      <c r="AH94" s="800">
        <f>+'Flujo Neto'!AH93</f>
        <v/>
      </c>
      <c r="AI94" s="686" t="n"/>
      <c r="AJ94" s="686" t="n"/>
      <c r="AK94" s="686" t="n"/>
      <c r="AL94" s="686" t="n"/>
      <c r="AM94" s="686" t="n"/>
      <c r="AN94" s="686" t="n"/>
      <c r="AO94" s="686" t="n"/>
    </row>
    <row r="95" ht="14" customHeight="1" s="549">
      <c r="A95" s="681" t="n"/>
      <c r="B95" s="681" t="n"/>
      <c r="C95" s="712" t="inlineStr">
        <is>
          <t>4.</t>
        </is>
      </c>
      <c r="D95" s="688" t="inlineStr">
        <is>
          <t>Servicios Profesionales</t>
        </is>
      </c>
      <c r="E95" s="792">
        <f>+E23</f>
        <v/>
      </c>
      <c r="F95" s="688" t="n"/>
      <c r="G95" s="681" t="n"/>
      <c r="H95" s="799">
        <f>+'Flujo Neto'!H94</f>
        <v/>
      </c>
      <c r="I95" s="799">
        <f>+'Flujo Neto'!I94</f>
        <v/>
      </c>
      <c r="J95" s="799">
        <f>+'Flujo Neto'!J94</f>
        <v/>
      </c>
      <c r="K95" s="799">
        <f>+'Flujo Neto'!K94</f>
        <v/>
      </c>
      <c r="L95" s="799">
        <f>+'Flujo Neto'!L94</f>
        <v/>
      </c>
      <c r="M95" s="799">
        <f>+'Flujo Neto'!M94</f>
        <v/>
      </c>
      <c r="N95" s="799">
        <f>+'Flujo Neto'!N94</f>
        <v/>
      </c>
      <c r="O95" s="799">
        <f>+'Flujo Neto'!O94</f>
        <v/>
      </c>
      <c r="P95" s="799">
        <f>+'Flujo Neto'!P94</f>
        <v/>
      </c>
      <c r="Q95" s="799">
        <f>+'Flujo Neto'!Q94</f>
        <v/>
      </c>
      <c r="R95" s="799">
        <f>+'Flujo Neto'!R94</f>
        <v/>
      </c>
      <c r="S95" s="799">
        <f>+'Flujo Neto'!S94</f>
        <v/>
      </c>
      <c r="T95" s="799">
        <f>+'Flujo Neto'!T94</f>
        <v/>
      </c>
      <c r="U95" s="799" t="n"/>
      <c r="V95" s="799">
        <f>+'Flujo Neto'!V94</f>
        <v/>
      </c>
      <c r="W95" s="799">
        <f>+'Flujo Neto'!W94</f>
        <v/>
      </c>
      <c r="X95" s="799">
        <f>+'Flujo Neto'!X94</f>
        <v/>
      </c>
      <c r="Y95" s="799">
        <f>+'Flujo Neto'!Y94</f>
        <v/>
      </c>
      <c r="Z95" s="799">
        <f>+'Flujo Neto'!Z94</f>
        <v/>
      </c>
      <c r="AA95" s="799">
        <f>+'Flujo Neto'!AA94</f>
        <v/>
      </c>
      <c r="AB95" s="799">
        <f>+'Flujo Neto'!AB94</f>
        <v/>
      </c>
      <c r="AC95" s="799">
        <f>+'Flujo Neto'!AC94</f>
        <v/>
      </c>
      <c r="AD95" s="799">
        <f>+'Flujo Neto'!AD94</f>
        <v/>
      </c>
      <c r="AE95" s="799">
        <f>+'Flujo Neto'!AE94</f>
        <v/>
      </c>
      <c r="AF95" s="799">
        <f>+'Flujo Neto'!AF94</f>
        <v/>
      </c>
      <c r="AG95" s="799">
        <f>+'Flujo Neto'!AG94</f>
        <v/>
      </c>
      <c r="AH95" s="799">
        <f>+'Flujo Neto'!AH94</f>
        <v/>
      </c>
      <c r="AI95" s="681" t="n"/>
      <c r="AJ95" s="681" t="n"/>
      <c r="AK95" s="681" t="n"/>
      <c r="AL95" s="681" t="n"/>
      <c r="AM95" s="681" t="n"/>
      <c r="AN95" s="681" t="n"/>
      <c r="AO95" s="681" t="n"/>
    </row>
    <row r="96" ht="14" customHeight="1" s="549">
      <c r="A96" s="686" t="n"/>
      <c r="B96" s="686" t="inlineStr">
        <is>
          <t>Boleta Honorarios</t>
        </is>
      </c>
      <c r="C96" s="788" t="inlineStr">
        <is>
          <t>4.1</t>
        </is>
      </c>
      <c r="D96" s="789" t="inlineStr">
        <is>
          <t>Encargado de Logistica y Bodega</t>
        </is>
      </c>
      <c r="E96" s="790">
        <f>+E24</f>
        <v/>
      </c>
      <c r="F96" s="789" t="n"/>
      <c r="G96" s="686" t="n"/>
      <c r="H96" s="800">
        <f>+'Flujo Neto'!H95</f>
        <v/>
      </c>
      <c r="I96" s="800">
        <f>+'Flujo Neto'!I95</f>
        <v/>
      </c>
      <c r="J96" s="800">
        <f>+'Flujo Neto'!J95</f>
        <v/>
      </c>
      <c r="K96" s="800">
        <f>+'Flujo Neto'!K95</f>
        <v/>
      </c>
      <c r="L96" s="800">
        <f>+'Flujo Neto'!L95</f>
        <v/>
      </c>
      <c r="M96" s="800">
        <f>+'Flujo Neto'!M95</f>
        <v/>
      </c>
      <c r="N96" s="800">
        <f>+'Flujo Neto'!N95</f>
        <v/>
      </c>
      <c r="O96" s="800">
        <f>+'Flujo Neto'!O95</f>
        <v/>
      </c>
      <c r="P96" s="800">
        <f>+'Flujo Neto'!P95</f>
        <v/>
      </c>
      <c r="Q96" s="800">
        <f>+'Flujo Neto'!Q95</f>
        <v/>
      </c>
      <c r="R96" s="800">
        <f>+'Flujo Neto'!R95</f>
        <v/>
      </c>
      <c r="S96" s="800">
        <f>+'Flujo Neto'!S95</f>
        <v/>
      </c>
      <c r="T96" s="800">
        <f>+'Flujo Neto'!T95</f>
        <v/>
      </c>
      <c r="U96" s="800" t="n"/>
      <c r="V96" s="800">
        <f>+'Flujo Neto'!V95</f>
        <v/>
      </c>
      <c r="W96" s="800" t="n"/>
      <c r="X96" s="800">
        <f>+'Flujo Neto'!X95</f>
        <v/>
      </c>
      <c r="Y96" s="800">
        <f>+'Flujo Neto'!Y95</f>
        <v/>
      </c>
      <c r="Z96" s="800">
        <f>+'Flujo Neto'!Z95</f>
        <v/>
      </c>
      <c r="AA96" s="800">
        <f>+'Flujo Neto'!AA95</f>
        <v/>
      </c>
      <c r="AB96" s="800">
        <f>+'Flujo Neto'!AB95</f>
        <v/>
      </c>
      <c r="AC96" s="800">
        <f>+'Flujo Neto'!AC95</f>
        <v/>
      </c>
      <c r="AD96" s="800">
        <f>+'Flujo Neto'!AD95</f>
        <v/>
      </c>
      <c r="AE96" s="800">
        <f>+'Flujo Neto'!AE95</f>
        <v/>
      </c>
      <c r="AF96" s="800">
        <f>+'Flujo Neto'!AF95</f>
        <v/>
      </c>
      <c r="AG96" s="800">
        <f>+'Flujo Neto'!AG95</f>
        <v/>
      </c>
      <c r="AH96" s="800">
        <f>+'Flujo Neto'!AH95</f>
        <v/>
      </c>
      <c r="AI96" s="686" t="n"/>
      <c r="AJ96" s="686" t="n"/>
      <c r="AK96" s="686" t="n"/>
      <c r="AL96" s="686" t="n"/>
      <c r="AM96" s="686" t="n"/>
      <c r="AN96" s="686" t="n"/>
      <c r="AO96" s="686" t="n"/>
    </row>
    <row r="97" ht="14" customHeight="1" s="549">
      <c r="A97" s="681" t="n"/>
      <c r="B97" s="681" t="inlineStr">
        <is>
          <t>Boleta Honorarios</t>
        </is>
      </c>
      <c r="C97" s="783" t="inlineStr">
        <is>
          <t>4.2</t>
        </is>
      </c>
      <c r="D97" s="784" t="inlineStr">
        <is>
          <t>Técnico pago por instalación - Plan A</t>
        </is>
      </c>
      <c r="E97" s="785">
        <f>+E25</f>
        <v/>
      </c>
      <c r="F97" s="784" t="n"/>
      <c r="G97" s="681" t="n"/>
      <c r="H97" s="799">
        <f>+'Flujo Neto'!H96</f>
        <v/>
      </c>
      <c r="I97" s="799">
        <f>+'Flujo Neto'!I96</f>
        <v/>
      </c>
      <c r="J97" s="799">
        <f>+'Flujo Neto'!J96</f>
        <v/>
      </c>
      <c r="K97" s="799">
        <f>+'Flujo Neto'!K96</f>
        <v/>
      </c>
      <c r="L97" s="799">
        <f>+'Flujo Neto'!L96</f>
        <v/>
      </c>
      <c r="M97" s="799">
        <f>+'Flujo Neto'!M96</f>
        <v/>
      </c>
      <c r="N97" s="799">
        <f>+'Flujo Neto'!N96</f>
        <v/>
      </c>
      <c r="O97" s="799">
        <f>+'Flujo Neto'!O96</f>
        <v/>
      </c>
      <c r="P97" s="799">
        <f>+'Flujo Neto'!P96</f>
        <v/>
      </c>
      <c r="Q97" s="799">
        <f>+'Flujo Neto'!Q96</f>
        <v/>
      </c>
      <c r="R97" s="799">
        <f>+'Flujo Neto'!R96</f>
        <v/>
      </c>
      <c r="S97" s="799">
        <f>+'Flujo Neto'!S96</f>
        <v/>
      </c>
      <c r="T97" s="799">
        <f>+'Flujo Neto'!T96</f>
        <v/>
      </c>
      <c r="U97" s="799" t="n"/>
      <c r="V97" s="799">
        <f>+'Flujo Neto'!V96</f>
        <v/>
      </c>
      <c r="W97" s="799">
        <f>+'Flujo Neto'!W96</f>
        <v/>
      </c>
      <c r="X97" s="799">
        <f>+'Flujo Neto'!X96</f>
        <v/>
      </c>
      <c r="Y97" s="799">
        <f>+'Flujo Neto'!Y96</f>
        <v/>
      </c>
      <c r="Z97" s="799">
        <f>+'Flujo Neto'!Z96</f>
        <v/>
      </c>
      <c r="AA97" s="799">
        <f>+'Flujo Neto'!AA96</f>
        <v/>
      </c>
      <c r="AB97" s="799">
        <f>+'Flujo Neto'!AB96</f>
        <v/>
      </c>
      <c r="AC97" s="799">
        <f>+'Flujo Neto'!AC96</f>
        <v/>
      </c>
      <c r="AD97" s="799">
        <f>+'Flujo Neto'!AD96</f>
        <v/>
      </c>
      <c r="AE97" s="799">
        <f>+'Flujo Neto'!AE96</f>
        <v/>
      </c>
      <c r="AF97" s="799">
        <f>+'Flujo Neto'!AF96</f>
        <v/>
      </c>
      <c r="AG97" s="799">
        <f>+'Flujo Neto'!AG96</f>
        <v/>
      </c>
      <c r="AH97" s="799">
        <f>+'Flujo Neto'!AH96</f>
        <v/>
      </c>
      <c r="AI97" s="681" t="n"/>
      <c r="AJ97" s="681" t="n"/>
      <c r="AK97" s="681" t="n"/>
      <c r="AL97" s="681" t="n"/>
      <c r="AM97" s="681" t="n"/>
      <c r="AN97" s="681" t="n"/>
      <c r="AO97" s="681" t="n"/>
    </row>
    <row r="98" ht="14" customHeight="1" s="549">
      <c r="A98" s="686" t="n"/>
      <c r="B98" s="686" t="inlineStr">
        <is>
          <t>Boleta Honorarios</t>
        </is>
      </c>
      <c r="C98" s="788" t="inlineStr">
        <is>
          <t>4.3</t>
        </is>
      </c>
      <c r="D98" s="789" t="inlineStr">
        <is>
          <t>Técnico contrato mensual - Plan B</t>
        </is>
      </c>
      <c r="E98" s="790">
        <f>+E26</f>
        <v/>
      </c>
      <c r="F98" s="789" t="n"/>
      <c r="G98" s="686" t="n"/>
      <c r="H98" s="800">
        <f>+'Flujo Neto'!H97</f>
        <v/>
      </c>
      <c r="I98" s="800">
        <f>+'Flujo Neto'!I97</f>
        <v/>
      </c>
      <c r="J98" s="800">
        <f>+'Flujo Neto'!J97</f>
        <v/>
      </c>
      <c r="K98" s="800">
        <f>+'Flujo Neto'!K97</f>
        <v/>
      </c>
      <c r="L98" s="800">
        <f>+'Flujo Neto'!L97</f>
        <v/>
      </c>
      <c r="M98" s="800">
        <f>+'Flujo Neto'!M97</f>
        <v/>
      </c>
      <c r="N98" s="800">
        <f>+'Flujo Neto'!N97</f>
        <v/>
      </c>
      <c r="O98" s="800">
        <f>+'Flujo Neto'!O97</f>
        <v/>
      </c>
      <c r="P98" s="800">
        <f>+'Flujo Neto'!P97</f>
        <v/>
      </c>
      <c r="Q98" s="800" t="n">
        <v>2</v>
      </c>
      <c r="R98" s="800">
        <f>+'Flujo Neto'!R97</f>
        <v/>
      </c>
      <c r="S98" s="800">
        <f>+'Flujo Neto'!S97</f>
        <v/>
      </c>
      <c r="T98" s="800">
        <f>+'Flujo Neto'!T97</f>
        <v/>
      </c>
      <c r="U98" s="800" t="n"/>
      <c r="V98" s="800">
        <f>+'Flujo Neto'!V97</f>
        <v/>
      </c>
      <c r="W98" s="800">
        <f>+'Flujo Neto'!W97</f>
        <v/>
      </c>
      <c r="X98" s="800">
        <f>+'Flujo Neto'!X97</f>
        <v/>
      </c>
      <c r="Y98" s="800">
        <f>+'Flujo Neto'!Y97</f>
        <v/>
      </c>
      <c r="Z98" s="800">
        <f>+'Flujo Neto'!Z97</f>
        <v/>
      </c>
      <c r="AA98" s="800">
        <f>+'Flujo Neto'!AA97</f>
        <v/>
      </c>
      <c r="AB98" s="800">
        <f>+'Flujo Neto'!AB97</f>
        <v/>
      </c>
      <c r="AC98" s="800">
        <f>+'Flujo Neto'!AC97</f>
        <v/>
      </c>
      <c r="AD98" s="800">
        <f>+'Flujo Neto'!AD97</f>
        <v/>
      </c>
      <c r="AE98" s="800">
        <f>+'Flujo Neto'!AE97</f>
        <v/>
      </c>
      <c r="AF98" s="800">
        <f>+'Flujo Neto'!AF97</f>
        <v/>
      </c>
      <c r="AG98" s="800">
        <f>+'Flujo Neto'!AG97</f>
        <v/>
      </c>
      <c r="AH98" s="800">
        <f>+'Flujo Neto'!AH97</f>
        <v/>
      </c>
      <c r="AI98" s="686" t="n"/>
      <c r="AJ98" s="686" t="n"/>
      <c r="AK98" s="686" t="n"/>
      <c r="AL98" s="686" t="n"/>
      <c r="AM98" s="686" t="n"/>
      <c r="AN98" s="686" t="n"/>
      <c r="AO98" s="686" t="n"/>
    </row>
    <row r="99" ht="14" customHeight="1" s="549">
      <c r="A99" s="681" t="n"/>
      <c r="B99" s="681" t="inlineStr">
        <is>
          <t>Boleta Honorarios</t>
        </is>
      </c>
      <c r="C99" s="783" t="inlineStr">
        <is>
          <t>4.4</t>
        </is>
      </c>
      <c r="D99" s="784" t="inlineStr">
        <is>
          <t>Ayudante contrato mensual - Plan B</t>
        </is>
      </c>
      <c r="E99" s="785">
        <f>+E27</f>
        <v/>
      </c>
      <c r="F99" s="784" t="n"/>
      <c r="G99" s="681" t="n"/>
      <c r="H99" s="799">
        <f>+'Flujo Neto'!H98</f>
        <v/>
      </c>
      <c r="I99" s="799">
        <f>+'Flujo Neto'!I98</f>
        <v/>
      </c>
      <c r="J99" s="799">
        <f>+'Flujo Neto'!J98</f>
        <v/>
      </c>
      <c r="K99" s="799">
        <f>+'Flujo Neto'!K98</f>
        <v/>
      </c>
      <c r="L99" s="799">
        <f>+'Flujo Neto'!L98</f>
        <v/>
      </c>
      <c r="M99" s="799">
        <f>+'Flujo Neto'!M98</f>
        <v/>
      </c>
      <c r="N99" s="799">
        <f>+'Flujo Neto'!N98</f>
        <v/>
      </c>
      <c r="O99" s="799">
        <f>+'Flujo Neto'!O98</f>
        <v/>
      </c>
      <c r="P99" s="799">
        <f>+'Flujo Neto'!P98</f>
        <v/>
      </c>
      <c r="Q99" s="799" t="n">
        <v>2</v>
      </c>
      <c r="R99" s="799">
        <f>+'Flujo Neto'!R98</f>
        <v/>
      </c>
      <c r="S99" s="799">
        <f>+'Flujo Neto'!S98</f>
        <v/>
      </c>
      <c r="T99" s="799">
        <f>+'Flujo Neto'!T98</f>
        <v/>
      </c>
      <c r="U99" s="799" t="n"/>
      <c r="V99" s="799">
        <f>+'Flujo Neto'!V98</f>
        <v/>
      </c>
      <c r="W99" s="799">
        <f>+'Flujo Neto'!W98</f>
        <v/>
      </c>
      <c r="X99" s="799">
        <f>+'Flujo Neto'!X98</f>
        <v/>
      </c>
      <c r="Y99" s="799">
        <f>+'Flujo Neto'!Y98</f>
        <v/>
      </c>
      <c r="Z99" s="799">
        <f>+'Flujo Neto'!Z98</f>
        <v/>
      </c>
      <c r="AA99" s="799">
        <f>+'Flujo Neto'!AA98</f>
        <v/>
      </c>
      <c r="AB99" s="799">
        <f>+'Flujo Neto'!AB98</f>
        <v/>
      </c>
      <c r="AC99" s="799">
        <f>+'Flujo Neto'!AC98</f>
        <v/>
      </c>
      <c r="AD99" s="799">
        <f>+'Flujo Neto'!AD98</f>
        <v/>
      </c>
      <c r="AE99" s="799">
        <f>+'Flujo Neto'!AE98</f>
        <v/>
      </c>
      <c r="AF99" s="799">
        <f>+'Flujo Neto'!AF98</f>
        <v/>
      </c>
      <c r="AG99" s="799">
        <f>+'Flujo Neto'!AG98</f>
        <v/>
      </c>
      <c r="AH99" s="799">
        <f>+'Flujo Neto'!AH98</f>
        <v/>
      </c>
      <c r="AI99" s="681" t="n"/>
      <c r="AJ99" s="681" t="n"/>
      <c r="AK99" s="681" t="n"/>
      <c r="AL99" s="681" t="n"/>
      <c r="AM99" s="681" t="n"/>
      <c r="AN99" s="681" t="n"/>
      <c r="AO99" s="681" t="n"/>
    </row>
    <row r="100" ht="14" customHeight="1" s="549">
      <c r="A100" s="686" t="n"/>
      <c r="B100" s="686" t="inlineStr">
        <is>
          <t>Boleta Honorarios</t>
        </is>
      </c>
      <c r="C100" s="788" t="inlineStr">
        <is>
          <t>4.5</t>
        </is>
      </c>
      <c r="D100" s="789" t="inlineStr">
        <is>
          <t>Personal apoyo Planos TE1</t>
        </is>
      </c>
      <c r="E100" s="790">
        <f>+E28</f>
        <v/>
      </c>
      <c r="F100" s="789" t="n"/>
      <c r="G100" s="686" t="n"/>
      <c r="H100" s="800">
        <f>+'Flujo Neto'!H99</f>
        <v/>
      </c>
      <c r="I100" s="800">
        <f>+'Flujo Neto'!I99</f>
        <v/>
      </c>
      <c r="J100" s="800">
        <f>+'Flujo Neto'!J99</f>
        <v/>
      </c>
      <c r="K100" s="800">
        <f>+'Flujo Neto'!K99</f>
        <v/>
      </c>
      <c r="L100" s="800">
        <f>+'Flujo Neto'!L99</f>
        <v/>
      </c>
      <c r="M100" s="800">
        <f>+'Flujo Neto'!M99</f>
        <v/>
      </c>
      <c r="N100" s="800">
        <f>+'Flujo Neto'!N99</f>
        <v/>
      </c>
      <c r="O100" s="800">
        <f>+'Flujo Neto'!O99</f>
        <v/>
      </c>
      <c r="P100" s="800">
        <f>+'Flujo Neto'!P99</f>
        <v/>
      </c>
      <c r="Q100" s="800">
        <f>+'Flujo Neto'!Q99</f>
        <v/>
      </c>
      <c r="R100" s="800">
        <f>+'Flujo Neto'!R99</f>
        <v/>
      </c>
      <c r="S100" s="800" t="n">
        <v>30</v>
      </c>
      <c r="T100" s="800">
        <f>+'Flujo Neto'!T99</f>
        <v/>
      </c>
      <c r="U100" s="800" t="n"/>
      <c r="V100" s="800" t="n">
        <v>30</v>
      </c>
      <c r="W100" s="800" t="n"/>
      <c r="X100" s="800">
        <f>+'Flujo Neto'!X99</f>
        <v/>
      </c>
      <c r="Y100" s="800">
        <f>+'Flujo Neto'!Y99</f>
        <v/>
      </c>
      <c r="Z100" s="800">
        <f>+'Flujo Neto'!Z99</f>
        <v/>
      </c>
      <c r="AA100" s="800">
        <f>+'Flujo Neto'!AA99</f>
        <v/>
      </c>
      <c r="AB100" s="800">
        <f>+'Flujo Neto'!AB99</f>
        <v/>
      </c>
      <c r="AC100" s="800">
        <f>+'Flujo Neto'!AC99</f>
        <v/>
      </c>
      <c r="AD100" s="800">
        <f>+'Flujo Neto'!AD99</f>
        <v/>
      </c>
      <c r="AE100" s="800">
        <f>+'Flujo Neto'!AE99</f>
        <v/>
      </c>
      <c r="AF100" s="800">
        <f>+'Flujo Neto'!AF99</f>
        <v/>
      </c>
      <c r="AG100" s="800">
        <f>+'Flujo Neto'!AG99</f>
        <v/>
      </c>
      <c r="AH100" s="800">
        <f>+'Flujo Neto'!AH99</f>
        <v/>
      </c>
      <c r="AI100" s="686" t="n"/>
      <c r="AJ100" s="686" t="n"/>
      <c r="AK100" s="686" t="n"/>
      <c r="AL100" s="686" t="n"/>
      <c r="AM100" s="686" t="n"/>
      <c r="AN100" s="686" t="n"/>
      <c r="AO100" s="686" t="n"/>
    </row>
    <row r="101" ht="14" customHeight="1" s="549">
      <c r="A101" s="681" t="n"/>
      <c r="B101" s="681" t="inlineStr">
        <is>
          <t>Boleta Honorarios</t>
        </is>
      </c>
      <c r="C101" s="783" t="inlineStr">
        <is>
          <t>4.6</t>
        </is>
      </c>
      <c r="D101" s="784" t="inlineStr">
        <is>
          <t>Encargado territorial RRHH</t>
        </is>
      </c>
      <c r="E101" s="785">
        <f>+E29</f>
        <v/>
      </c>
      <c r="F101" s="784" t="n"/>
      <c r="G101" s="681" t="n"/>
      <c r="H101" s="799">
        <f>+'Flujo Neto'!H100</f>
        <v/>
      </c>
      <c r="I101" s="799">
        <f>+'Flujo Neto'!I100</f>
        <v/>
      </c>
      <c r="J101" s="799">
        <f>+'Flujo Neto'!J100</f>
        <v/>
      </c>
      <c r="K101" s="799">
        <f>+'Flujo Neto'!K100</f>
        <v/>
      </c>
      <c r="L101" s="799">
        <f>+'Flujo Neto'!L100</f>
        <v/>
      </c>
      <c r="M101" s="799">
        <f>+'Flujo Neto'!M100</f>
        <v/>
      </c>
      <c r="N101" s="799">
        <f>+'Flujo Neto'!N100</f>
        <v/>
      </c>
      <c r="O101" s="799">
        <f>+'Flujo Neto'!O100</f>
        <v/>
      </c>
      <c r="P101" s="799">
        <f>+'Flujo Neto'!P100</f>
        <v/>
      </c>
      <c r="Q101" s="799">
        <f>+'Flujo Neto'!Q100</f>
        <v/>
      </c>
      <c r="R101" s="799">
        <f>+'Flujo Neto'!R100</f>
        <v/>
      </c>
      <c r="S101" s="799">
        <f>+'Flujo Neto'!S100</f>
        <v/>
      </c>
      <c r="T101" s="799">
        <f>+'Flujo Neto'!T100</f>
        <v/>
      </c>
      <c r="U101" s="799" t="n"/>
      <c r="V101" s="799">
        <f>+'Flujo Neto'!V100</f>
        <v/>
      </c>
      <c r="W101" s="799" t="n"/>
      <c r="X101" s="799">
        <f>+'Flujo Neto'!X100</f>
        <v/>
      </c>
      <c r="Y101" s="799">
        <f>+'Flujo Neto'!Y100</f>
        <v/>
      </c>
      <c r="Z101" s="799">
        <f>+'Flujo Neto'!Z100</f>
        <v/>
      </c>
      <c r="AA101" s="799">
        <f>+'Flujo Neto'!AA100</f>
        <v/>
      </c>
      <c r="AB101" s="799">
        <f>+'Flujo Neto'!AB100</f>
        <v/>
      </c>
      <c r="AC101" s="799">
        <f>+'Flujo Neto'!AC100</f>
        <v/>
      </c>
      <c r="AD101" s="799">
        <f>+'Flujo Neto'!AD100</f>
        <v/>
      </c>
      <c r="AE101" s="799">
        <f>+'Flujo Neto'!AE100</f>
        <v/>
      </c>
      <c r="AF101" s="799">
        <f>+'Flujo Neto'!AF100</f>
        <v/>
      </c>
      <c r="AG101" s="799">
        <f>+'Flujo Neto'!AG100</f>
        <v/>
      </c>
      <c r="AH101" s="799">
        <f>+'Flujo Neto'!AH100</f>
        <v/>
      </c>
      <c r="AI101" s="681" t="n"/>
      <c r="AJ101" s="681" t="n"/>
      <c r="AK101" s="681" t="n"/>
      <c r="AL101" s="681" t="n"/>
      <c r="AM101" s="681" t="n"/>
      <c r="AN101" s="681" t="n"/>
      <c r="AO101" s="681" t="n"/>
    </row>
    <row r="102" ht="14" customHeight="1" s="549">
      <c r="A102" s="686" t="n"/>
      <c r="B102" s="686" t="inlineStr">
        <is>
          <t>Boleta Honorarios</t>
        </is>
      </c>
      <c r="C102" s="788" t="inlineStr">
        <is>
          <t>4.7</t>
        </is>
      </c>
      <c r="D102" s="789" t="inlineStr">
        <is>
          <t>Apoyo Financiero de proyecto</t>
        </is>
      </c>
      <c r="E102" s="790">
        <f>+E30</f>
        <v/>
      </c>
      <c r="F102" s="789" t="n"/>
      <c r="G102" s="686" t="n"/>
      <c r="H102" s="800">
        <f>+'Flujo Neto'!H101</f>
        <v/>
      </c>
      <c r="I102" s="800">
        <f>+'Flujo Neto'!I101</f>
        <v/>
      </c>
      <c r="J102" s="800">
        <f>+'Flujo Neto'!J101</f>
        <v/>
      </c>
      <c r="K102" s="800">
        <f>+'Flujo Neto'!K101</f>
        <v/>
      </c>
      <c r="L102" s="800">
        <f>+'Flujo Neto'!L101</f>
        <v/>
      </c>
      <c r="M102" s="800">
        <f>+'Flujo Neto'!M101</f>
        <v/>
      </c>
      <c r="N102" s="800">
        <f>+'Flujo Neto'!N101</f>
        <v/>
      </c>
      <c r="O102" s="800">
        <f>+'Flujo Neto'!O101</f>
        <v/>
      </c>
      <c r="P102" s="800">
        <f>+'Flujo Neto'!P101</f>
        <v/>
      </c>
      <c r="Q102" s="800">
        <f>+'Flujo Neto'!Q101</f>
        <v/>
      </c>
      <c r="R102" s="800">
        <f>+'Flujo Neto'!R101</f>
        <v/>
      </c>
      <c r="S102" s="800">
        <f>+'Flujo Neto'!S101</f>
        <v/>
      </c>
      <c r="T102" s="800">
        <f>+'Flujo Neto'!T101</f>
        <v/>
      </c>
      <c r="U102" s="800" t="n"/>
      <c r="V102" s="800">
        <f>+'Flujo Neto'!V101</f>
        <v/>
      </c>
      <c r="W102" s="800" t="n"/>
      <c r="X102" s="800">
        <f>+'Flujo Neto'!X101</f>
        <v/>
      </c>
      <c r="Y102" s="800">
        <f>+'Flujo Neto'!Y101</f>
        <v/>
      </c>
      <c r="Z102" s="800">
        <f>+'Flujo Neto'!Z101</f>
        <v/>
      </c>
      <c r="AA102" s="800">
        <f>+'Flujo Neto'!AA101</f>
        <v/>
      </c>
      <c r="AB102" s="800">
        <f>+'Flujo Neto'!AB101</f>
        <v/>
      </c>
      <c r="AC102" s="800">
        <f>+'Flujo Neto'!AC101</f>
        <v/>
      </c>
      <c r="AD102" s="800">
        <f>+'Flujo Neto'!AD101</f>
        <v/>
      </c>
      <c r="AE102" s="800">
        <f>+'Flujo Neto'!AE101</f>
        <v/>
      </c>
      <c r="AF102" s="800">
        <f>+'Flujo Neto'!AF101</f>
        <v/>
      </c>
      <c r="AG102" s="800">
        <f>+'Flujo Neto'!AG101</f>
        <v/>
      </c>
      <c r="AH102" s="800">
        <f>+'Flujo Neto'!AH101</f>
        <v/>
      </c>
      <c r="AI102" s="686" t="n"/>
      <c r="AJ102" s="686" t="n"/>
      <c r="AK102" s="686" t="n"/>
      <c r="AL102" s="686" t="n"/>
      <c r="AM102" s="686" t="n"/>
      <c r="AN102" s="686" t="n"/>
      <c r="AO102" s="686" t="n"/>
    </row>
    <row r="103" ht="14" customHeight="1" s="549">
      <c r="A103" s="681" t="n"/>
      <c r="B103" s="681" t="inlineStr">
        <is>
          <t>Boleta Honorarios</t>
        </is>
      </c>
      <c r="C103" s="783" t="inlineStr">
        <is>
          <t>4.8</t>
        </is>
      </c>
      <c r="D103" s="784" t="n"/>
      <c r="E103" s="785">
        <f>+E31</f>
        <v/>
      </c>
      <c r="F103" s="784" t="n"/>
      <c r="G103" s="681" t="n"/>
      <c r="H103" s="799">
        <f>+'Flujo Neto'!H102</f>
        <v/>
      </c>
      <c r="I103" s="799">
        <f>+'Flujo Neto'!I102</f>
        <v/>
      </c>
      <c r="J103" s="799">
        <f>+'Flujo Neto'!J102</f>
        <v/>
      </c>
      <c r="K103" s="799">
        <f>+'Flujo Neto'!K102</f>
        <v/>
      </c>
      <c r="L103" s="799">
        <f>+'Flujo Neto'!L102</f>
        <v/>
      </c>
      <c r="M103" s="799">
        <f>+'Flujo Neto'!M102</f>
        <v/>
      </c>
      <c r="N103" s="799">
        <f>+'Flujo Neto'!N102</f>
        <v/>
      </c>
      <c r="O103" s="799">
        <f>+'Flujo Neto'!O102</f>
        <v/>
      </c>
      <c r="P103" s="799">
        <f>+'Flujo Neto'!P102</f>
        <v/>
      </c>
      <c r="Q103" s="799">
        <f>+'Flujo Neto'!Q102</f>
        <v/>
      </c>
      <c r="R103" s="799">
        <f>+'Flujo Neto'!R102</f>
        <v/>
      </c>
      <c r="S103" s="799">
        <f>+'Flujo Neto'!S102</f>
        <v/>
      </c>
      <c r="T103" s="799">
        <f>+'Flujo Neto'!T102</f>
        <v/>
      </c>
      <c r="U103" s="799" t="n"/>
      <c r="V103" s="799">
        <f>+'Flujo Neto'!V102</f>
        <v/>
      </c>
      <c r="W103" s="799">
        <f>+'Flujo Neto'!W102</f>
        <v/>
      </c>
      <c r="X103" s="799">
        <f>+'Flujo Neto'!X102</f>
        <v/>
      </c>
      <c r="Y103" s="799">
        <f>+'Flujo Neto'!Y102</f>
        <v/>
      </c>
      <c r="Z103" s="799">
        <f>+'Flujo Neto'!Z102</f>
        <v/>
      </c>
      <c r="AA103" s="799">
        <f>+'Flujo Neto'!AA102</f>
        <v/>
      </c>
      <c r="AB103" s="799">
        <f>+'Flujo Neto'!AB102</f>
        <v/>
      </c>
      <c r="AC103" s="799">
        <f>+'Flujo Neto'!AC102</f>
        <v/>
      </c>
      <c r="AD103" s="799">
        <f>+'Flujo Neto'!AD102</f>
        <v/>
      </c>
      <c r="AE103" s="799">
        <f>+'Flujo Neto'!AE102</f>
        <v/>
      </c>
      <c r="AF103" s="799">
        <f>+'Flujo Neto'!AF102</f>
        <v/>
      </c>
      <c r="AG103" s="799">
        <f>+'Flujo Neto'!AG102</f>
        <v/>
      </c>
      <c r="AH103" s="799">
        <f>+'Flujo Neto'!AH102</f>
        <v/>
      </c>
      <c r="AI103" s="681" t="n"/>
      <c r="AJ103" s="681" t="n"/>
      <c r="AK103" s="681" t="n"/>
      <c r="AL103" s="681" t="n"/>
      <c r="AM103" s="681" t="n"/>
      <c r="AN103" s="681" t="n"/>
      <c r="AO103" s="681" t="n"/>
    </row>
    <row r="104" ht="14" customHeight="1" s="549">
      <c r="A104" s="686" t="n"/>
      <c r="B104" s="686" t="inlineStr">
        <is>
          <t>Boleta Honorarios</t>
        </is>
      </c>
      <c r="C104" s="788" t="n"/>
      <c r="D104" s="789" t="n"/>
      <c r="E104" s="686" t="n"/>
      <c r="F104" s="686" t="n"/>
      <c r="G104" s="686" t="n"/>
      <c r="H104" s="800">
        <f>+'Flujo Neto'!H103</f>
        <v/>
      </c>
      <c r="I104" s="800">
        <f>+'Flujo Neto'!I103</f>
        <v/>
      </c>
      <c r="J104" s="800">
        <f>+'Flujo Neto'!J103</f>
        <v/>
      </c>
      <c r="K104" s="800">
        <f>+'Flujo Neto'!K103</f>
        <v/>
      </c>
      <c r="L104" s="800">
        <f>+'Flujo Neto'!L103</f>
        <v/>
      </c>
      <c r="M104" s="800">
        <f>+'Flujo Neto'!M103</f>
        <v/>
      </c>
      <c r="N104" s="800">
        <f>+'Flujo Neto'!N103</f>
        <v/>
      </c>
      <c r="O104" s="800">
        <f>+'Flujo Neto'!O103</f>
        <v/>
      </c>
      <c r="P104" s="800">
        <f>+'Flujo Neto'!P103</f>
        <v/>
      </c>
      <c r="Q104" s="800">
        <f>+'Flujo Neto'!Q103</f>
        <v/>
      </c>
      <c r="R104" s="800">
        <f>+'Flujo Neto'!R103</f>
        <v/>
      </c>
      <c r="S104" s="800">
        <f>+'Flujo Neto'!S103</f>
        <v/>
      </c>
      <c r="T104" s="800">
        <f>+'Flujo Neto'!T103</f>
        <v/>
      </c>
      <c r="U104" s="800" t="n"/>
      <c r="V104" s="800">
        <f>+'Flujo Neto'!V103</f>
        <v/>
      </c>
      <c r="W104" s="800">
        <f>+'Flujo Neto'!W103</f>
        <v/>
      </c>
      <c r="X104" s="800">
        <f>+'Flujo Neto'!X103</f>
        <v/>
      </c>
      <c r="Y104" s="800">
        <f>+'Flujo Neto'!Y103</f>
        <v/>
      </c>
      <c r="Z104" s="800">
        <f>+'Flujo Neto'!Z103</f>
        <v/>
      </c>
      <c r="AA104" s="800">
        <f>+'Flujo Neto'!AA103</f>
        <v/>
      </c>
      <c r="AB104" s="800">
        <f>+'Flujo Neto'!AB103</f>
        <v/>
      </c>
      <c r="AC104" s="800">
        <f>+'Flujo Neto'!AC103</f>
        <v/>
      </c>
      <c r="AD104" s="800">
        <f>+'Flujo Neto'!AD103</f>
        <v/>
      </c>
      <c r="AE104" s="800">
        <f>+'Flujo Neto'!AE103</f>
        <v/>
      </c>
      <c r="AF104" s="800">
        <f>+'Flujo Neto'!AF103</f>
        <v/>
      </c>
      <c r="AG104" s="800">
        <f>+'Flujo Neto'!AG103</f>
        <v/>
      </c>
      <c r="AH104" s="800">
        <f>+'Flujo Neto'!AH103</f>
        <v/>
      </c>
      <c r="AI104" s="686" t="n"/>
      <c r="AJ104" s="686" t="n"/>
      <c r="AK104" s="686" t="n"/>
      <c r="AL104" s="686" t="n"/>
      <c r="AM104" s="686" t="n"/>
      <c r="AN104" s="686" t="n"/>
      <c r="AO104" s="686" t="n"/>
    </row>
    <row r="105" ht="14" customHeight="1" s="549">
      <c r="A105" s="681" t="n"/>
      <c r="B105" s="681" t="n"/>
      <c r="C105" s="712" t="inlineStr">
        <is>
          <t>5.</t>
        </is>
      </c>
      <c r="D105" s="688" t="inlineStr">
        <is>
          <t>Alquileres RRCC</t>
        </is>
      </c>
      <c r="E105" s="792">
        <f>+E33</f>
        <v/>
      </c>
      <c r="F105" s="688" t="n"/>
      <c r="G105" s="681" t="n"/>
      <c r="H105" s="799">
        <f>+'Flujo Neto'!H104</f>
        <v/>
      </c>
      <c r="I105" s="799">
        <f>+'Flujo Neto'!I104</f>
        <v/>
      </c>
      <c r="J105" s="799">
        <f>+'Flujo Neto'!J104</f>
        <v/>
      </c>
      <c r="K105" s="799">
        <f>+'Flujo Neto'!K104</f>
        <v/>
      </c>
      <c r="L105" s="799">
        <f>+'Flujo Neto'!L104</f>
        <v/>
      </c>
      <c r="M105" s="799">
        <f>+'Flujo Neto'!M104</f>
        <v/>
      </c>
      <c r="N105" s="799">
        <f>+'Flujo Neto'!N104</f>
        <v/>
      </c>
      <c r="O105" s="799">
        <f>+'Flujo Neto'!O104</f>
        <v/>
      </c>
      <c r="P105" s="799">
        <f>+'Flujo Neto'!P104</f>
        <v/>
      </c>
      <c r="Q105" s="799">
        <f>+'Flujo Neto'!Q104</f>
        <v/>
      </c>
      <c r="R105" s="799">
        <f>+'Flujo Neto'!R104</f>
        <v/>
      </c>
      <c r="S105" s="799">
        <f>+'Flujo Neto'!S104</f>
        <v/>
      </c>
      <c r="T105" s="799">
        <f>+'Flujo Neto'!T104</f>
        <v/>
      </c>
      <c r="U105" s="799" t="n"/>
      <c r="V105" s="799">
        <f>+'Flujo Neto'!V104</f>
        <v/>
      </c>
      <c r="W105" s="799">
        <f>+'Flujo Neto'!W104</f>
        <v/>
      </c>
      <c r="X105" s="799">
        <f>+'Flujo Neto'!X104</f>
        <v/>
      </c>
      <c r="Y105" s="799">
        <f>+'Flujo Neto'!Y104</f>
        <v/>
      </c>
      <c r="Z105" s="799">
        <f>+'Flujo Neto'!Z104</f>
        <v/>
      </c>
      <c r="AA105" s="799">
        <f>+'Flujo Neto'!AA104</f>
        <v/>
      </c>
      <c r="AB105" s="799">
        <f>+'Flujo Neto'!AB104</f>
        <v/>
      </c>
      <c r="AC105" s="799">
        <f>+'Flujo Neto'!AC104</f>
        <v/>
      </c>
      <c r="AD105" s="799">
        <f>+'Flujo Neto'!AD104</f>
        <v/>
      </c>
      <c r="AE105" s="799">
        <f>+'Flujo Neto'!AE104</f>
        <v/>
      </c>
      <c r="AF105" s="799">
        <f>+'Flujo Neto'!AF104</f>
        <v/>
      </c>
      <c r="AG105" s="799">
        <f>+'Flujo Neto'!AG104</f>
        <v/>
      </c>
      <c r="AH105" s="799">
        <f>+'Flujo Neto'!AH104</f>
        <v/>
      </c>
      <c r="AI105" s="681" t="n"/>
      <c r="AJ105" s="681" t="n"/>
      <c r="AK105" s="681" t="n"/>
      <c r="AL105" s="681" t="n"/>
      <c r="AM105" s="681" t="n"/>
      <c r="AN105" s="681" t="n"/>
      <c r="AO105" s="681" t="n"/>
    </row>
    <row r="106" ht="14" customHeight="1" s="549">
      <c r="A106" s="686" t="n"/>
      <c r="B106" s="686" t="inlineStr">
        <is>
          <t>Factura</t>
        </is>
      </c>
      <c r="C106" s="788" t="inlineStr">
        <is>
          <t>5.1</t>
        </is>
      </c>
      <c r="D106" s="789" t="inlineStr">
        <is>
          <t>Arriendo vehículo diario - RRCC</t>
        </is>
      </c>
      <c r="E106" s="790">
        <f>+E34</f>
        <v/>
      </c>
      <c r="F106" s="789" t="n"/>
      <c r="G106" s="686" t="n"/>
      <c r="H106" s="800">
        <f>+'Flujo Neto'!H105</f>
        <v/>
      </c>
      <c r="I106" s="800">
        <f>+'Flujo Neto'!I105</f>
        <v/>
      </c>
      <c r="J106" s="800">
        <f>+'Flujo Neto'!J105</f>
        <v/>
      </c>
      <c r="K106" s="800">
        <f>+'Flujo Neto'!K105</f>
        <v/>
      </c>
      <c r="L106" s="800">
        <f>+'Flujo Neto'!L105</f>
        <v/>
      </c>
      <c r="M106" s="800">
        <f>+'Flujo Neto'!M105</f>
        <v/>
      </c>
      <c r="N106" s="800">
        <f>+'Flujo Neto'!N105</f>
        <v/>
      </c>
      <c r="O106" s="800">
        <f>+'Flujo Neto'!O105</f>
        <v/>
      </c>
      <c r="P106" s="800">
        <f>+'Flujo Neto'!P105</f>
        <v/>
      </c>
      <c r="Q106" s="800">
        <f>+'Flujo Neto'!Q105</f>
        <v/>
      </c>
      <c r="R106" s="800">
        <f>+'Flujo Neto'!R105</f>
        <v/>
      </c>
      <c r="S106" s="800">
        <f>+'Flujo Neto'!S105</f>
        <v/>
      </c>
      <c r="T106" s="800">
        <f>+'Flujo Neto'!T105</f>
        <v/>
      </c>
      <c r="U106" s="800" t="n"/>
      <c r="V106" s="800">
        <f>+'Flujo Neto'!V105</f>
        <v/>
      </c>
      <c r="W106" s="800">
        <f>+'Flujo Neto'!W105</f>
        <v/>
      </c>
      <c r="X106" s="800">
        <f>+'Flujo Neto'!X105</f>
        <v/>
      </c>
      <c r="Y106" s="800">
        <f>+'Flujo Neto'!Y105</f>
        <v/>
      </c>
      <c r="Z106" s="800">
        <f>+'Flujo Neto'!Z105</f>
        <v/>
      </c>
      <c r="AA106" s="800">
        <f>+'Flujo Neto'!AA105</f>
        <v/>
      </c>
      <c r="AB106" s="800">
        <f>+'Flujo Neto'!AB105</f>
        <v/>
      </c>
      <c r="AC106" s="800">
        <f>+'Flujo Neto'!AC105</f>
        <v/>
      </c>
      <c r="AD106" s="800">
        <f>+'Flujo Neto'!AD105</f>
        <v/>
      </c>
      <c r="AE106" s="800">
        <f>+'Flujo Neto'!AE105</f>
        <v/>
      </c>
      <c r="AF106" s="800">
        <f>+'Flujo Neto'!AF105</f>
        <v/>
      </c>
      <c r="AG106" s="800">
        <f>+'Flujo Neto'!AG105</f>
        <v/>
      </c>
      <c r="AH106" s="800">
        <f>+'Flujo Neto'!AH105</f>
        <v/>
      </c>
      <c r="AI106" s="686" t="n"/>
      <c r="AJ106" s="686" t="n"/>
      <c r="AK106" s="686" t="n"/>
      <c r="AL106" s="686" t="n"/>
      <c r="AM106" s="686" t="n"/>
      <c r="AN106" s="686" t="n"/>
      <c r="AO106" s="686" t="n"/>
    </row>
    <row r="107" ht="14" customHeight="1" s="549">
      <c r="A107" s="681" t="n"/>
      <c r="B107" s="681" t="inlineStr">
        <is>
          <t>Factura</t>
        </is>
      </c>
      <c r="C107" s="783" t="inlineStr">
        <is>
          <t>5.2</t>
        </is>
      </c>
      <c r="D107" s="784" t="inlineStr">
        <is>
          <t>Vehiculo RRCC</t>
        </is>
      </c>
      <c r="E107" s="785">
        <f>+E35</f>
        <v/>
      </c>
      <c r="F107" s="784" t="n"/>
      <c r="G107" s="681" t="n"/>
      <c r="H107" s="799">
        <f>+'Flujo Neto'!H106</f>
        <v/>
      </c>
      <c r="I107" s="799">
        <f>+'Flujo Neto'!I106</f>
        <v/>
      </c>
      <c r="J107" s="799">
        <f>+'Flujo Neto'!J106</f>
        <v/>
      </c>
      <c r="K107" s="799">
        <f>+'Flujo Neto'!K106</f>
        <v/>
      </c>
      <c r="L107" s="799">
        <f>+'Flujo Neto'!L106</f>
        <v/>
      </c>
      <c r="M107" s="799">
        <f>+'Flujo Neto'!M106</f>
        <v/>
      </c>
      <c r="N107" s="799">
        <f>+'Flujo Neto'!N106</f>
        <v/>
      </c>
      <c r="O107" s="799">
        <f>+'Flujo Neto'!O106</f>
        <v/>
      </c>
      <c r="P107" s="799">
        <f>+'Flujo Neto'!P106</f>
        <v/>
      </c>
      <c r="Q107" s="799">
        <f>+'Flujo Neto'!Q106</f>
        <v/>
      </c>
      <c r="R107" s="799">
        <f>+'Flujo Neto'!R106</f>
        <v/>
      </c>
      <c r="S107" s="799">
        <f>+'Flujo Neto'!S106</f>
        <v/>
      </c>
      <c r="T107" s="799">
        <f>+'Flujo Neto'!T106</f>
        <v/>
      </c>
      <c r="U107" s="799" t="n"/>
      <c r="V107" s="799">
        <f>+'Flujo Neto'!V106</f>
        <v/>
      </c>
      <c r="W107" s="799">
        <f>+'Flujo Neto'!W106</f>
        <v/>
      </c>
      <c r="X107" s="799">
        <f>+'Flujo Neto'!X106</f>
        <v/>
      </c>
      <c r="Y107" s="799">
        <f>+'Flujo Neto'!Y106</f>
        <v/>
      </c>
      <c r="Z107" s="799">
        <f>+'Flujo Neto'!Z106</f>
        <v/>
      </c>
      <c r="AA107" s="799">
        <f>+'Flujo Neto'!AA106</f>
        <v/>
      </c>
      <c r="AB107" s="799">
        <f>+'Flujo Neto'!AB106</f>
        <v/>
      </c>
      <c r="AC107" s="799">
        <f>+'Flujo Neto'!AC106</f>
        <v/>
      </c>
      <c r="AD107" s="799">
        <f>+'Flujo Neto'!AD106</f>
        <v/>
      </c>
      <c r="AE107" s="799">
        <f>+'Flujo Neto'!AE106</f>
        <v/>
      </c>
      <c r="AF107" s="799">
        <f>+'Flujo Neto'!AF106</f>
        <v/>
      </c>
      <c r="AG107" s="799">
        <f>+'Flujo Neto'!AG106</f>
        <v/>
      </c>
      <c r="AH107" s="799">
        <f>+'Flujo Neto'!AH106</f>
        <v/>
      </c>
      <c r="AI107" s="681" t="n"/>
      <c r="AJ107" s="681" t="n"/>
      <c r="AK107" s="681" t="n"/>
      <c r="AL107" s="681" t="n"/>
      <c r="AM107" s="681" t="n"/>
      <c r="AN107" s="681" t="n"/>
      <c r="AO107" s="681" t="n"/>
    </row>
    <row r="108" ht="14" customHeight="1" s="549">
      <c r="A108" s="686" t="n"/>
      <c r="B108" s="686" t="n"/>
      <c r="C108" s="771" t="inlineStr">
        <is>
          <t>6.</t>
        </is>
      </c>
      <c r="D108" s="682" t="inlineStr">
        <is>
          <t>Alquileres Gestión Técnica</t>
        </is>
      </c>
      <c r="E108" s="780">
        <f>+E36</f>
        <v/>
      </c>
      <c r="F108" s="682" t="n"/>
      <c r="G108" s="686" t="n"/>
      <c r="H108" s="800">
        <f>+'Flujo Neto'!H107</f>
        <v/>
      </c>
      <c r="I108" s="800">
        <f>+'Flujo Neto'!I107</f>
        <v/>
      </c>
      <c r="J108" s="800">
        <f>+'Flujo Neto'!J107</f>
        <v/>
      </c>
      <c r="K108" s="800">
        <f>+'Flujo Neto'!K107</f>
        <v/>
      </c>
      <c r="L108" s="800">
        <f>+'Flujo Neto'!L107</f>
        <v/>
      </c>
      <c r="M108" s="800">
        <f>+'Flujo Neto'!M107</f>
        <v/>
      </c>
      <c r="N108" s="800">
        <f>+'Flujo Neto'!N107</f>
        <v/>
      </c>
      <c r="O108" s="800">
        <f>+'Flujo Neto'!O107</f>
        <v/>
      </c>
      <c r="P108" s="800">
        <f>+'Flujo Neto'!P107</f>
        <v/>
      </c>
      <c r="Q108" s="800">
        <f>+'Flujo Neto'!Q107</f>
        <v/>
      </c>
      <c r="R108" s="800">
        <f>+'Flujo Neto'!R107</f>
        <v/>
      </c>
      <c r="S108" s="800">
        <f>+'Flujo Neto'!S107</f>
        <v/>
      </c>
      <c r="T108" s="800">
        <f>+'Flujo Neto'!T107</f>
        <v/>
      </c>
      <c r="U108" s="800" t="n"/>
      <c r="V108" s="800">
        <f>+'Flujo Neto'!V107</f>
        <v/>
      </c>
      <c r="W108" s="800">
        <f>+'Flujo Neto'!W107</f>
        <v/>
      </c>
      <c r="X108" s="800">
        <f>+'Flujo Neto'!X107</f>
        <v/>
      </c>
      <c r="Y108" s="800">
        <f>+'Flujo Neto'!Y107</f>
        <v/>
      </c>
      <c r="Z108" s="800">
        <f>+'Flujo Neto'!Z107</f>
        <v/>
      </c>
      <c r="AA108" s="800">
        <f>+'Flujo Neto'!AA107</f>
        <v/>
      </c>
      <c r="AB108" s="800">
        <f>+'Flujo Neto'!AB107</f>
        <v/>
      </c>
      <c r="AC108" s="800">
        <f>+'Flujo Neto'!AC107</f>
        <v/>
      </c>
      <c r="AD108" s="800">
        <f>+'Flujo Neto'!AD107</f>
        <v/>
      </c>
      <c r="AE108" s="800">
        <f>+'Flujo Neto'!AE107</f>
        <v/>
      </c>
      <c r="AF108" s="800">
        <f>+'Flujo Neto'!AF107</f>
        <v/>
      </c>
      <c r="AG108" s="800">
        <f>+'Flujo Neto'!AG107</f>
        <v/>
      </c>
      <c r="AH108" s="800">
        <f>+'Flujo Neto'!AH107</f>
        <v/>
      </c>
      <c r="AI108" s="686" t="n"/>
      <c r="AJ108" s="686" t="n"/>
      <c r="AK108" s="686" t="n"/>
      <c r="AL108" s="686" t="n"/>
      <c r="AM108" s="686" t="n"/>
      <c r="AN108" s="686" t="n"/>
      <c r="AO108" s="686" t="n"/>
    </row>
    <row r="109" ht="14" customHeight="1" s="549">
      <c r="A109" s="681" t="n"/>
      <c r="B109" s="681" t="inlineStr">
        <is>
          <t>Factura</t>
        </is>
      </c>
      <c r="C109" s="783" t="inlineStr">
        <is>
          <t>6.1</t>
        </is>
      </c>
      <c r="D109" s="784" t="inlineStr">
        <is>
          <t>Bodega Terreno</t>
        </is>
      </c>
      <c r="E109" s="785">
        <f>+E37</f>
        <v/>
      </c>
      <c r="F109" s="784" t="n"/>
      <c r="G109" s="681" t="n"/>
      <c r="H109" s="799">
        <f>+'Flujo Neto'!H108</f>
        <v/>
      </c>
      <c r="I109" s="799">
        <f>+'Flujo Neto'!I108</f>
        <v/>
      </c>
      <c r="J109" s="799">
        <f>+'Flujo Neto'!J108</f>
        <v/>
      </c>
      <c r="K109" s="799">
        <f>+'Flujo Neto'!K108</f>
        <v/>
      </c>
      <c r="L109" s="799">
        <f>+'Flujo Neto'!L108</f>
        <v/>
      </c>
      <c r="M109" s="799">
        <f>+'Flujo Neto'!M108</f>
        <v/>
      </c>
      <c r="N109" s="799">
        <f>+'Flujo Neto'!N108</f>
        <v/>
      </c>
      <c r="O109" s="799">
        <f>+'Flujo Neto'!O108</f>
        <v/>
      </c>
      <c r="P109" s="799">
        <f>+'Flujo Neto'!P108</f>
        <v/>
      </c>
      <c r="Q109" s="799">
        <f>+'Flujo Neto'!Q108</f>
        <v/>
      </c>
      <c r="R109" s="799">
        <f>+'Flujo Neto'!R108</f>
        <v/>
      </c>
      <c r="S109" s="799">
        <f>+'Flujo Neto'!S108</f>
        <v/>
      </c>
      <c r="T109" s="799">
        <f>+'Flujo Neto'!T108</f>
        <v/>
      </c>
      <c r="U109" s="799" t="n"/>
      <c r="V109" s="799">
        <f>+'Flujo Neto'!V108</f>
        <v/>
      </c>
      <c r="W109" s="799">
        <f>+'Flujo Neto'!W108</f>
        <v/>
      </c>
      <c r="X109" s="799">
        <f>+'Flujo Neto'!X108</f>
        <v/>
      </c>
      <c r="Y109" s="799">
        <f>+'Flujo Neto'!Y108</f>
        <v/>
      </c>
      <c r="Z109" s="799">
        <f>+'Flujo Neto'!Z108</f>
        <v/>
      </c>
      <c r="AA109" s="799">
        <f>+'Flujo Neto'!AA108</f>
        <v/>
      </c>
      <c r="AB109" s="799">
        <f>+'Flujo Neto'!AB108</f>
        <v/>
      </c>
      <c r="AC109" s="799">
        <f>+'Flujo Neto'!AC108</f>
        <v/>
      </c>
      <c r="AD109" s="799">
        <f>+'Flujo Neto'!AD108</f>
        <v/>
      </c>
      <c r="AE109" s="799">
        <f>+'Flujo Neto'!AE108</f>
        <v/>
      </c>
      <c r="AF109" s="799">
        <f>+'Flujo Neto'!AF108</f>
        <v/>
      </c>
      <c r="AG109" s="799">
        <f>+'Flujo Neto'!AG108</f>
        <v/>
      </c>
      <c r="AH109" s="799">
        <f>+'Flujo Neto'!AH108</f>
        <v/>
      </c>
      <c r="AI109" s="681" t="n"/>
      <c r="AJ109" s="681" t="n"/>
      <c r="AK109" s="681" t="n"/>
      <c r="AL109" s="681" t="n"/>
      <c r="AM109" s="681" t="n"/>
      <c r="AN109" s="681" t="n"/>
      <c r="AO109" s="681" t="n"/>
    </row>
    <row r="110" ht="14" customHeight="1" s="549">
      <c r="A110" s="686" t="n"/>
      <c r="B110" s="686" t="inlineStr">
        <is>
          <t>Factura</t>
        </is>
      </c>
      <c r="C110" s="788" t="inlineStr">
        <is>
          <t>6.2</t>
        </is>
      </c>
      <c r="D110" s="789" t="inlineStr">
        <is>
          <t>Arriendo vehículo diario - Área Técnica</t>
        </is>
      </c>
      <c r="E110" s="790">
        <f>+E38</f>
        <v/>
      </c>
      <c r="F110" s="789" t="n"/>
      <c r="G110" s="686" t="n"/>
      <c r="H110" s="800">
        <f>+'Flujo Neto'!H109</f>
        <v/>
      </c>
      <c r="I110" s="800">
        <f>+'Flujo Neto'!I109</f>
        <v/>
      </c>
      <c r="J110" s="800">
        <f>+'Flujo Neto'!J109</f>
        <v/>
      </c>
      <c r="K110" s="800">
        <f>+'Flujo Neto'!K109</f>
        <v/>
      </c>
      <c r="L110" s="800">
        <f>+'Flujo Neto'!L109</f>
        <v/>
      </c>
      <c r="M110" s="800">
        <f>+'Flujo Neto'!M109</f>
        <v/>
      </c>
      <c r="N110" s="800">
        <f>+'Flujo Neto'!N109</f>
        <v/>
      </c>
      <c r="O110" s="800">
        <f>+'Flujo Neto'!O109</f>
        <v/>
      </c>
      <c r="P110" s="800">
        <f>+'Flujo Neto'!P109</f>
        <v/>
      </c>
      <c r="Q110" s="800">
        <f>+'Flujo Neto'!Q109</f>
        <v/>
      </c>
      <c r="R110" s="800">
        <f>+'Flujo Neto'!R109</f>
        <v/>
      </c>
      <c r="S110" s="800">
        <f>+'Flujo Neto'!S109</f>
        <v/>
      </c>
      <c r="T110" s="800">
        <f>+'Flujo Neto'!T109</f>
        <v/>
      </c>
      <c r="U110" s="800" t="n"/>
      <c r="V110" s="800">
        <f>+'Flujo Neto'!V109</f>
        <v/>
      </c>
      <c r="W110" s="800">
        <f>+'Flujo Neto'!W109</f>
        <v/>
      </c>
      <c r="X110" s="800">
        <f>+'Flujo Neto'!X109</f>
        <v/>
      </c>
      <c r="Y110" s="800">
        <f>+'Flujo Neto'!Y109</f>
        <v/>
      </c>
      <c r="Z110" s="800">
        <f>+'Flujo Neto'!Z109</f>
        <v/>
      </c>
      <c r="AA110" s="800">
        <f>+'Flujo Neto'!AA109</f>
        <v/>
      </c>
      <c r="AB110" s="800">
        <f>+'Flujo Neto'!AB109</f>
        <v/>
      </c>
      <c r="AC110" s="800">
        <f>+'Flujo Neto'!AC109</f>
        <v/>
      </c>
      <c r="AD110" s="800">
        <f>+'Flujo Neto'!AD109</f>
        <v/>
      </c>
      <c r="AE110" s="800">
        <f>+'Flujo Neto'!AE109</f>
        <v/>
      </c>
      <c r="AF110" s="800">
        <f>+'Flujo Neto'!AF109</f>
        <v/>
      </c>
      <c r="AG110" s="800">
        <f>+'Flujo Neto'!AG109</f>
        <v/>
      </c>
      <c r="AH110" s="800">
        <f>+'Flujo Neto'!AH109</f>
        <v/>
      </c>
      <c r="AI110" s="686" t="n"/>
      <c r="AJ110" s="686" t="n"/>
      <c r="AK110" s="686" t="n"/>
      <c r="AL110" s="686" t="n"/>
      <c r="AM110" s="686" t="n"/>
      <c r="AN110" s="686" t="n"/>
      <c r="AO110" s="686" t="n"/>
    </row>
    <row r="111" ht="14" customHeight="1" s="549">
      <c r="A111" s="681" t="n"/>
      <c r="B111" s="681" t="inlineStr">
        <is>
          <t>Factura</t>
        </is>
      </c>
      <c r="C111" s="783" t="inlineStr">
        <is>
          <t>6.3</t>
        </is>
      </c>
      <c r="D111" s="784" t="inlineStr">
        <is>
          <t>Vehiculo Instaladores</t>
        </is>
      </c>
      <c r="E111" s="785">
        <f>+E39</f>
        <v/>
      </c>
      <c r="F111" s="784" t="n"/>
      <c r="G111" s="681" t="n"/>
      <c r="H111" s="799">
        <f>+'Flujo Neto'!H110</f>
        <v/>
      </c>
      <c r="I111" s="799">
        <f>+'Flujo Neto'!I110</f>
        <v/>
      </c>
      <c r="J111" s="799">
        <f>+'Flujo Neto'!J110</f>
        <v/>
      </c>
      <c r="K111" s="799">
        <f>+'Flujo Neto'!K110</f>
        <v/>
      </c>
      <c r="L111" s="799">
        <f>+'Flujo Neto'!L110</f>
        <v/>
      </c>
      <c r="M111" s="799">
        <f>+'Flujo Neto'!M110</f>
        <v/>
      </c>
      <c r="N111" s="799">
        <f>+'Flujo Neto'!N110</f>
        <v/>
      </c>
      <c r="O111" s="799">
        <f>+'Flujo Neto'!O110</f>
        <v/>
      </c>
      <c r="P111" s="799">
        <f>+'Flujo Neto'!P110</f>
        <v/>
      </c>
      <c r="Q111" s="799" t="n">
        <v>2</v>
      </c>
      <c r="R111" s="799">
        <f>+'Flujo Neto'!R110</f>
        <v/>
      </c>
      <c r="S111" s="799">
        <f>+'Flujo Neto'!S110</f>
        <v/>
      </c>
      <c r="T111" s="799">
        <f>+'Flujo Neto'!T110</f>
        <v/>
      </c>
      <c r="U111" s="799" t="n"/>
      <c r="V111" s="799">
        <f>+'Flujo Neto'!V110</f>
        <v/>
      </c>
      <c r="W111" s="799">
        <f>+'Flujo Neto'!W110</f>
        <v/>
      </c>
      <c r="X111" s="799">
        <f>+'Flujo Neto'!X110</f>
        <v/>
      </c>
      <c r="Y111" s="799">
        <f>+'Flujo Neto'!Y110</f>
        <v/>
      </c>
      <c r="Z111" s="799">
        <f>+'Flujo Neto'!Z110</f>
        <v/>
      </c>
      <c r="AA111" s="799">
        <f>+'Flujo Neto'!AA110</f>
        <v/>
      </c>
      <c r="AB111" s="799">
        <f>+'Flujo Neto'!AB110</f>
        <v/>
      </c>
      <c r="AC111" s="799">
        <f>+'Flujo Neto'!AC110</f>
        <v/>
      </c>
      <c r="AD111" s="799">
        <f>+'Flujo Neto'!AD110</f>
        <v/>
      </c>
      <c r="AE111" s="799">
        <f>+'Flujo Neto'!AE110</f>
        <v/>
      </c>
      <c r="AF111" s="799">
        <f>+'Flujo Neto'!AF110</f>
        <v/>
      </c>
      <c r="AG111" s="799">
        <f>+'Flujo Neto'!AG110</f>
        <v/>
      </c>
      <c r="AH111" s="799">
        <f>+'Flujo Neto'!AH110</f>
        <v/>
      </c>
      <c r="AI111" s="681" t="n"/>
      <c r="AJ111" s="681" t="n"/>
      <c r="AK111" s="681" t="n"/>
      <c r="AL111" s="681" t="n"/>
      <c r="AM111" s="681" t="n"/>
      <c r="AN111" s="681" t="n"/>
      <c r="AO111" s="681" t="n"/>
    </row>
    <row r="112" ht="14" customHeight="1" s="549">
      <c r="A112" s="686" t="n"/>
      <c r="B112" s="686" t="inlineStr">
        <is>
          <t>Factura</t>
        </is>
      </c>
      <c r="C112" s="788" t="inlineStr">
        <is>
          <t>6.4</t>
        </is>
      </c>
      <c r="D112" s="789" t="inlineStr">
        <is>
          <t>Vehiculo Transporte (Maxus Deliver 9)</t>
        </is>
      </c>
      <c r="E112" s="790">
        <f>+E40</f>
        <v/>
      </c>
      <c r="F112" s="789" t="n"/>
      <c r="G112" s="686" t="n"/>
      <c r="H112" s="800">
        <f>+'Flujo Neto'!H111</f>
        <v/>
      </c>
      <c r="I112" s="800">
        <f>+'Flujo Neto'!I111</f>
        <v/>
      </c>
      <c r="J112" s="800">
        <f>+'Flujo Neto'!J111</f>
        <v/>
      </c>
      <c r="K112" s="800">
        <f>+'Flujo Neto'!K111</f>
        <v/>
      </c>
      <c r="L112" s="800">
        <f>+'Flujo Neto'!L111</f>
        <v/>
      </c>
      <c r="M112" s="800">
        <f>+'Flujo Neto'!M111</f>
        <v/>
      </c>
      <c r="N112" s="800">
        <f>+'Flujo Neto'!N111</f>
        <v/>
      </c>
      <c r="O112" s="800">
        <f>+'Flujo Neto'!O111</f>
        <v/>
      </c>
      <c r="P112" s="800">
        <f>+'Flujo Neto'!P111</f>
        <v/>
      </c>
      <c r="Q112" s="800">
        <f>+'Flujo Neto'!Q111</f>
        <v/>
      </c>
      <c r="R112" s="800">
        <f>+'Flujo Neto'!R111</f>
        <v/>
      </c>
      <c r="S112" s="800">
        <f>+'Flujo Neto'!S111</f>
        <v/>
      </c>
      <c r="T112" s="800">
        <f>+'Flujo Neto'!T111</f>
        <v/>
      </c>
      <c r="U112" s="800" t="n"/>
      <c r="V112" s="800">
        <f>+'Flujo Neto'!V111</f>
        <v/>
      </c>
      <c r="W112" s="800">
        <f>+'Flujo Neto'!W111</f>
        <v/>
      </c>
      <c r="X112" s="800">
        <f>+'Flujo Neto'!X111</f>
        <v/>
      </c>
      <c r="Y112" s="800">
        <f>+'Flujo Neto'!Y111</f>
        <v/>
      </c>
      <c r="Z112" s="800">
        <f>+'Flujo Neto'!Z111</f>
        <v/>
      </c>
      <c r="AA112" s="800">
        <f>+'Flujo Neto'!AA111</f>
        <v/>
      </c>
      <c r="AB112" s="800">
        <f>+'Flujo Neto'!AB111</f>
        <v/>
      </c>
      <c r="AC112" s="800">
        <f>+'Flujo Neto'!AC111</f>
        <v/>
      </c>
      <c r="AD112" s="800">
        <f>+'Flujo Neto'!AD111</f>
        <v/>
      </c>
      <c r="AE112" s="800">
        <f>+'Flujo Neto'!AE111</f>
        <v/>
      </c>
      <c r="AF112" s="800">
        <f>+'Flujo Neto'!AF111</f>
        <v/>
      </c>
      <c r="AG112" s="800">
        <f>+'Flujo Neto'!AG111</f>
        <v/>
      </c>
      <c r="AH112" s="800">
        <f>+'Flujo Neto'!AH111</f>
        <v/>
      </c>
      <c r="AI112" s="686" t="n"/>
      <c r="AJ112" s="686" t="n"/>
      <c r="AK112" s="686" t="n"/>
      <c r="AL112" s="686" t="n"/>
      <c r="AM112" s="686" t="n"/>
      <c r="AN112" s="686" t="n"/>
      <c r="AO112" s="686" t="n"/>
    </row>
    <row r="113" ht="14" customHeight="1" s="549">
      <c r="A113" s="681" t="n"/>
      <c r="B113" s="681" t="n"/>
      <c r="C113" s="712" t="inlineStr">
        <is>
          <t>7.</t>
        </is>
      </c>
      <c r="D113" s="688" t="inlineStr">
        <is>
          <t>Transporte</t>
        </is>
      </c>
      <c r="E113" s="792">
        <f>+E41</f>
        <v/>
      </c>
      <c r="F113" s="688" t="n"/>
      <c r="G113" s="681" t="n"/>
      <c r="H113" s="799">
        <f>+'Flujo Neto'!H112</f>
        <v/>
      </c>
      <c r="I113" s="799">
        <f>+'Flujo Neto'!I112</f>
        <v/>
      </c>
      <c r="J113" s="799">
        <f>+'Flujo Neto'!J112</f>
        <v/>
      </c>
      <c r="K113" s="799">
        <f>+'Flujo Neto'!K112</f>
        <v/>
      </c>
      <c r="L113" s="799">
        <f>+'Flujo Neto'!L112</f>
        <v/>
      </c>
      <c r="M113" s="799">
        <f>+'Flujo Neto'!M112</f>
        <v/>
      </c>
      <c r="N113" s="799">
        <f>+'Flujo Neto'!N112</f>
        <v/>
      </c>
      <c r="O113" s="799">
        <f>+'Flujo Neto'!O112</f>
        <v/>
      </c>
      <c r="P113" s="799">
        <f>+'Flujo Neto'!P112</f>
        <v/>
      </c>
      <c r="Q113" s="799">
        <f>+'Flujo Neto'!Q112</f>
        <v/>
      </c>
      <c r="R113" s="799">
        <f>+'Flujo Neto'!R112</f>
        <v/>
      </c>
      <c r="S113" s="799">
        <f>+'Flujo Neto'!S112</f>
        <v/>
      </c>
      <c r="T113" s="799">
        <f>+'Flujo Neto'!T112</f>
        <v/>
      </c>
      <c r="U113" s="799" t="n"/>
      <c r="V113" s="799">
        <f>+'Flujo Neto'!V112</f>
        <v/>
      </c>
      <c r="W113" s="799">
        <f>+'Flujo Neto'!W112</f>
        <v/>
      </c>
      <c r="X113" s="799">
        <f>+'Flujo Neto'!X112</f>
        <v/>
      </c>
      <c r="Y113" s="799">
        <f>+'Flujo Neto'!Y112</f>
        <v/>
      </c>
      <c r="Z113" s="799">
        <f>+'Flujo Neto'!Z112</f>
        <v/>
      </c>
      <c r="AA113" s="799">
        <f>+'Flujo Neto'!AA112</f>
        <v/>
      </c>
      <c r="AB113" s="799">
        <f>+'Flujo Neto'!AB112</f>
        <v/>
      </c>
      <c r="AC113" s="799">
        <f>+'Flujo Neto'!AC112</f>
        <v/>
      </c>
      <c r="AD113" s="799">
        <f>+'Flujo Neto'!AD112</f>
        <v/>
      </c>
      <c r="AE113" s="799">
        <f>+'Flujo Neto'!AE112</f>
        <v/>
      </c>
      <c r="AF113" s="799">
        <f>+'Flujo Neto'!AF112</f>
        <v/>
      </c>
      <c r="AG113" s="799">
        <f>+'Flujo Neto'!AG112</f>
        <v/>
      </c>
      <c r="AH113" s="799">
        <f>+'Flujo Neto'!AH112</f>
        <v/>
      </c>
      <c r="AI113" s="681" t="n"/>
      <c r="AJ113" s="681" t="n"/>
      <c r="AK113" s="681" t="n"/>
      <c r="AL113" s="681" t="n"/>
      <c r="AM113" s="681" t="n"/>
      <c r="AN113" s="681" t="n"/>
      <c r="AO113" s="681" t="n"/>
    </row>
    <row r="114" ht="14" customHeight="1" s="549">
      <c r="A114" s="686" t="n"/>
      <c r="B114" s="686" t="inlineStr">
        <is>
          <t>Factura</t>
        </is>
      </c>
      <c r="C114" s="788" t="inlineStr">
        <is>
          <t>7.1</t>
        </is>
      </c>
      <c r="D114" s="789" t="inlineStr">
        <is>
          <t>Transporte ZIMPERTEC</t>
        </is>
      </c>
      <c r="E114" s="790">
        <f>+E42</f>
        <v/>
      </c>
      <c r="F114" s="789" t="n"/>
      <c r="G114" s="686" t="n"/>
      <c r="H114" s="800">
        <f>+'Flujo Neto'!H113</f>
        <v/>
      </c>
      <c r="I114" s="800">
        <f>+'Flujo Neto'!I113</f>
        <v/>
      </c>
      <c r="J114" s="800">
        <f>+'Flujo Neto'!J113</f>
        <v/>
      </c>
      <c r="K114" s="800">
        <f>+'Flujo Neto'!K113</f>
        <v/>
      </c>
      <c r="L114" s="800">
        <f>+'Flujo Neto'!L113</f>
        <v/>
      </c>
      <c r="M114" s="800">
        <f>+'Flujo Neto'!M113</f>
        <v/>
      </c>
      <c r="N114" s="800">
        <f>+'Flujo Neto'!N113</f>
        <v/>
      </c>
      <c r="O114" s="800">
        <f>+'Flujo Neto'!O113</f>
        <v/>
      </c>
      <c r="P114" s="800">
        <f>+'Flujo Neto'!P113</f>
        <v/>
      </c>
      <c r="Q114" s="800">
        <f>+'Flujo Neto'!Q113</f>
        <v/>
      </c>
      <c r="R114" s="800">
        <f>+'Flujo Neto'!R113</f>
        <v/>
      </c>
      <c r="S114" s="800">
        <f>+'Flujo Neto'!S113</f>
        <v/>
      </c>
      <c r="T114" s="800">
        <f>+'Flujo Neto'!T113</f>
        <v/>
      </c>
      <c r="U114" s="800" t="n"/>
      <c r="V114" s="800">
        <f>+'Flujo Neto'!V113</f>
        <v/>
      </c>
      <c r="W114" s="800">
        <f>+'Flujo Neto'!W113</f>
        <v/>
      </c>
      <c r="X114" s="800">
        <f>+'Flujo Neto'!X113</f>
        <v/>
      </c>
      <c r="Y114" s="800">
        <f>+'Flujo Neto'!Y113</f>
        <v/>
      </c>
      <c r="Z114" s="800">
        <f>+'Flujo Neto'!Z113</f>
        <v/>
      </c>
      <c r="AA114" s="800">
        <f>+'Flujo Neto'!AA113</f>
        <v/>
      </c>
      <c r="AB114" s="800">
        <f>+'Flujo Neto'!AB113</f>
        <v/>
      </c>
      <c r="AC114" s="800">
        <f>+'Flujo Neto'!AC113</f>
        <v/>
      </c>
      <c r="AD114" s="800">
        <f>+'Flujo Neto'!AD113</f>
        <v/>
      </c>
      <c r="AE114" s="800">
        <f>+'Flujo Neto'!AE113</f>
        <v/>
      </c>
      <c r="AF114" s="800">
        <f>+'Flujo Neto'!AF113</f>
        <v/>
      </c>
      <c r="AG114" s="800">
        <f>+'Flujo Neto'!AG113</f>
        <v/>
      </c>
      <c r="AH114" s="800">
        <f>+'Flujo Neto'!AH113</f>
        <v/>
      </c>
      <c r="AI114" s="686" t="n"/>
      <c r="AJ114" s="686" t="n"/>
      <c r="AK114" s="686" t="n"/>
      <c r="AL114" s="686" t="n"/>
      <c r="AM114" s="686" t="n"/>
      <c r="AN114" s="686" t="n"/>
      <c r="AO114" s="686" t="n"/>
    </row>
    <row r="115" ht="11.25" customHeight="1" s="549">
      <c r="AH115" s="463" t="n"/>
    </row>
    <row r="116" ht="14" customHeight="1" s="549">
      <c r="A116" s="681" t="n"/>
      <c r="B116" s="681" t="inlineStr">
        <is>
          <t>Factura</t>
        </is>
      </c>
      <c r="C116" s="783" t="inlineStr">
        <is>
          <t>7.3</t>
        </is>
      </c>
      <c r="D116" s="784" t="inlineStr">
        <is>
          <t>Traslado Contenedor (ida y vuelta)</t>
        </is>
      </c>
      <c r="E116" s="785">
        <f>+E44</f>
        <v/>
      </c>
      <c r="F116" s="784" t="n"/>
      <c r="G116" s="681" t="n"/>
      <c r="H116" s="799">
        <f>+'Flujo Neto'!H115</f>
        <v/>
      </c>
      <c r="I116" s="799">
        <f>+'Flujo Neto'!I115</f>
        <v/>
      </c>
      <c r="J116" s="799">
        <f>+'Flujo Neto'!J115</f>
        <v/>
      </c>
      <c r="K116" s="799">
        <f>+'Flujo Neto'!K115</f>
        <v/>
      </c>
      <c r="L116" s="799">
        <f>+'Flujo Neto'!L115</f>
        <v/>
      </c>
      <c r="M116" s="799">
        <f>+'Flujo Neto'!M115</f>
        <v/>
      </c>
      <c r="N116" s="799">
        <f>+'Flujo Neto'!N115</f>
        <v/>
      </c>
      <c r="O116" s="799">
        <f>+'Flujo Neto'!O115</f>
        <v/>
      </c>
      <c r="P116" s="799">
        <f>+'Flujo Neto'!P115</f>
        <v/>
      </c>
      <c r="Q116" s="799">
        <f>+'Flujo Neto'!Q115</f>
        <v/>
      </c>
      <c r="R116" s="799">
        <f>+'Flujo Neto'!R115</f>
        <v/>
      </c>
      <c r="S116" s="799">
        <f>+'Flujo Neto'!S115</f>
        <v/>
      </c>
      <c r="T116" s="799">
        <f>+'Flujo Neto'!T115</f>
        <v/>
      </c>
      <c r="U116" s="799" t="n"/>
      <c r="V116" s="799">
        <f>+'Flujo Neto'!V115</f>
        <v/>
      </c>
      <c r="W116" s="799">
        <f>+'Flujo Neto'!W115</f>
        <v/>
      </c>
      <c r="X116" s="799">
        <f>+'Flujo Neto'!X115</f>
        <v/>
      </c>
      <c r="Y116" s="799">
        <f>+'Flujo Neto'!Y115</f>
        <v/>
      </c>
      <c r="Z116" s="799">
        <f>+'Flujo Neto'!Z115</f>
        <v/>
      </c>
      <c r="AA116" s="799">
        <f>+'Flujo Neto'!AA115</f>
        <v/>
      </c>
      <c r="AB116" s="799">
        <f>+'Flujo Neto'!AB115</f>
        <v/>
      </c>
      <c r="AC116" s="799">
        <f>+'Flujo Neto'!AC115</f>
        <v/>
      </c>
      <c r="AD116" s="799">
        <f>+'Flujo Neto'!AD115</f>
        <v/>
      </c>
      <c r="AE116" s="799">
        <f>+'Flujo Neto'!AE115</f>
        <v/>
      </c>
      <c r="AF116" s="799">
        <f>+'Flujo Neto'!AF115</f>
        <v/>
      </c>
      <c r="AG116" s="799">
        <f>+'Flujo Neto'!AG115</f>
        <v/>
      </c>
      <c r="AH116" s="799">
        <f>+'Flujo Neto'!AH115</f>
        <v/>
      </c>
      <c r="AI116" s="681" t="n"/>
      <c r="AJ116" s="681" t="n"/>
      <c r="AK116" s="681" t="n"/>
      <c r="AL116" s="681" t="n"/>
      <c r="AM116" s="681" t="n"/>
      <c r="AN116" s="681" t="n"/>
      <c r="AO116" s="681" t="n"/>
    </row>
    <row r="117" ht="14" customHeight="1" s="549">
      <c r="A117" s="686" t="n"/>
      <c r="B117" s="686" t="inlineStr">
        <is>
          <t>Factura</t>
        </is>
      </c>
      <c r="C117" s="788" t="inlineStr">
        <is>
          <t>7.4</t>
        </is>
      </c>
      <c r="D117" s="789" t="inlineStr">
        <is>
          <t>Camión Transporte Origen - Punto Destino (RAMPLA ABIERTA)</t>
        </is>
      </c>
      <c r="E117" s="790">
        <f>+E45</f>
        <v/>
      </c>
      <c r="F117" s="789" t="n"/>
      <c r="G117" s="686" t="n"/>
      <c r="H117" s="800">
        <f>+'Flujo Neto'!H116</f>
        <v/>
      </c>
      <c r="I117" s="800">
        <f>+'Flujo Neto'!I116</f>
        <v/>
      </c>
      <c r="J117" s="800">
        <f>+'Flujo Neto'!J116</f>
        <v/>
      </c>
      <c r="K117" s="800">
        <f>+'Flujo Neto'!K116</f>
        <v/>
      </c>
      <c r="L117" s="800">
        <f>+'Flujo Neto'!L116</f>
        <v/>
      </c>
      <c r="M117" s="800">
        <f>+'Flujo Neto'!M116</f>
        <v/>
      </c>
      <c r="N117" s="800">
        <f>+'Flujo Neto'!N116</f>
        <v/>
      </c>
      <c r="O117" s="800">
        <f>+'Flujo Neto'!O116</f>
        <v/>
      </c>
      <c r="P117" s="800">
        <f>+'Flujo Neto'!P116</f>
        <v/>
      </c>
      <c r="Q117" s="800">
        <f>+'Flujo Neto'!Q116</f>
        <v/>
      </c>
      <c r="R117" s="800">
        <f>+'Flujo Neto'!R116</f>
        <v/>
      </c>
      <c r="S117" s="800">
        <f>+'Flujo Neto'!S116</f>
        <v/>
      </c>
      <c r="T117" s="800">
        <f>+'Flujo Neto'!T116</f>
        <v/>
      </c>
      <c r="U117" s="800" t="n"/>
      <c r="V117" s="800">
        <f>+'Flujo Neto'!V116</f>
        <v/>
      </c>
      <c r="W117" s="800">
        <f>+'Flujo Neto'!W116</f>
        <v/>
      </c>
      <c r="X117" s="800">
        <f>+'Flujo Neto'!X116</f>
        <v/>
      </c>
      <c r="Y117" s="800">
        <f>+'Flujo Neto'!Y116</f>
        <v/>
      </c>
      <c r="Z117" s="800">
        <f>+'Flujo Neto'!Z116</f>
        <v/>
      </c>
      <c r="AA117" s="800">
        <f>+'Flujo Neto'!AA116</f>
        <v/>
      </c>
      <c r="AB117" s="800">
        <f>+'Flujo Neto'!AB116</f>
        <v/>
      </c>
      <c r="AC117" s="800">
        <f>+'Flujo Neto'!AC116</f>
        <v/>
      </c>
      <c r="AD117" s="800">
        <f>+'Flujo Neto'!AD116</f>
        <v/>
      </c>
      <c r="AE117" s="800">
        <f>+'Flujo Neto'!AE116</f>
        <v/>
      </c>
      <c r="AF117" s="800">
        <f>+'Flujo Neto'!AF116</f>
        <v/>
      </c>
      <c r="AG117" s="800">
        <f>+'Flujo Neto'!AG116</f>
        <v/>
      </c>
      <c r="AH117" s="800">
        <f>+'Flujo Neto'!AH116</f>
        <v/>
      </c>
      <c r="AI117" s="686" t="n"/>
      <c r="AJ117" s="686" t="n"/>
      <c r="AK117" s="686" t="n"/>
      <c r="AL117" s="686" t="n"/>
      <c r="AM117" s="686" t="n"/>
      <c r="AN117" s="686" t="n"/>
      <c r="AO117" s="686" t="n"/>
    </row>
    <row r="118">
      <c r="AH118" s="463" t="n"/>
    </row>
    <row r="119" ht="11.25" customHeight="1" s="549">
      <c r="AH119" s="463" t="n"/>
    </row>
    <row r="120" ht="14" customHeight="1" s="549">
      <c r="A120" s="681" t="n"/>
      <c r="B120" s="681" t="inlineStr">
        <is>
          <t>Factura</t>
        </is>
      </c>
      <c r="C120" s="783" t="inlineStr">
        <is>
          <t>7.7</t>
        </is>
      </c>
      <c r="D120" s="784" t="inlineStr">
        <is>
          <t>Camión Transporte Origen - Punto Destino (Camión cerrado)</t>
        </is>
      </c>
      <c r="E120" s="785">
        <f>+E48</f>
        <v/>
      </c>
      <c r="F120" s="784" t="n"/>
      <c r="G120" s="681" t="n"/>
      <c r="H120" s="799">
        <f>+'Flujo Neto'!H119</f>
        <v/>
      </c>
      <c r="I120" s="799">
        <f>+'Flujo Neto'!I119</f>
        <v/>
      </c>
      <c r="J120" s="799">
        <f>+'Flujo Neto'!J119</f>
        <v/>
      </c>
      <c r="K120" s="799">
        <f>+'Flujo Neto'!K119</f>
        <v/>
      </c>
      <c r="L120" s="799">
        <f>+'Flujo Neto'!L119</f>
        <v/>
      </c>
      <c r="M120" s="799">
        <f>+'Flujo Neto'!M119</f>
        <v/>
      </c>
      <c r="N120" s="799">
        <f>+'Flujo Neto'!N119</f>
        <v/>
      </c>
      <c r="O120" s="799">
        <f>+'Flujo Neto'!O119</f>
        <v/>
      </c>
      <c r="P120" s="799">
        <f>+'Flujo Neto'!P119</f>
        <v/>
      </c>
      <c r="Q120" s="799">
        <f>+'Flujo Neto'!Q119</f>
        <v/>
      </c>
      <c r="R120" s="799">
        <f>+'Flujo Neto'!R119</f>
        <v/>
      </c>
      <c r="S120" s="799">
        <f>+'Flujo Neto'!S119</f>
        <v/>
      </c>
      <c r="T120" s="799">
        <f>+'Flujo Neto'!T119</f>
        <v/>
      </c>
      <c r="U120" s="799" t="n"/>
      <c r="V120" s="799">
        <f>+'Flujo Neto'!V119</f>
        <v/>
      </c>
      <c r="W120" s="799">
        <f>+'Flujo Neto'!W119</f>
        <v/>
      </c>
      <c r="X120" s="799">
        <f>+'Flujo Neto'!X119</f>
        <v/>
      </c>
      <c r="Y120" s="799">
        <f>+'Flujo Neto'!Y119</f>
        <v/>
      </c>
      <c r="Z120" s="799">
        <f>+'Flujo Neto'!Z119</f>
        <v/>
      </c>
      <c r="AA120" s="799">
        <f>+'Flujo Neto'!AA119</f>
        <v/>
      </c>
      <c r="AB120" s="799">
        <f>+'Flujo Neto'!AB119</f>
        <v/>
      </c>
      <c r="AC120" s="799">
        <f>+'Flujo Neto'!AC119</f>
        <v/>
      </c>
      <c r="AD120" s="799">
        <f>+'Flujo Neto'!AD119</f>
        <v/>
      </c>
      <c r="AE120" s="799">
        <f>+'Flujo Neto'!AE119</f>
        <v/>
      </c>
      <c r="AF120" s="799">
        <f>+'Flujo Neto'!AF119</f>
        <v/>
      </c>
      <c r="AG120" s="799">
        <f>+'Flujo Neto'!AG119</f>
        <v/>
      </c>
      <c r="AH120" s="799">
        <f>+'Flujo Neto'!AH119</f>
        <v/>
      </c>
      <c r="AI120" s="681" t="n"/>
      <c r="AJ120" s="681" t="n"/>
      <c r="AK120" s="681" t="n"/>
      <c r="AL120" s="681" t="n"/>
      <c r="AM120" s="681" t="n"/>
      <c r="AN120" s="681" t="n"/>
      <c r="AO120" s="681" t="n"/>
    </row>
    <row r="121" ht="14" customHeight="1" s="549">
      <c r="A121" s="686" t="n"/>
      <c r="B121" s="686" t="n"/>
      <c r="C121" s="771" t="inlineStr">
        <is>
          <t>8.</t>
        </is>
      </c>
      <c r="D121" s="682" t="inlineStr">
        <is>
          <t>Viajes RRCC</t>
        </is>
      </c>
      <c r="E121" s="780">
        <f>+E49</f>
        <v/>
      </c>
      <c r="F121" s="682" t="n"/>
      <c r="G121" s="686" t="n"/>
      <c r="H121" s="800">
        <f>+'Flujo Neto'!H120</f>
        <v/>
      </c>
      <c r="I121" s="800">
        <f>+'Flujo Neto'!I120</f>
        <v/>
      </c>
      <c r="J121" s="800">
        <f>+'Flujo Neto'!J120</f>
        <v/>
      </c>
      <c r="K121" s="800">
        <f>+'Flujo Neto'!K120</f>
        <v/>
      </c>
      <c r="L121" s="800">
        <f>+'Flujo Neto'!L120</f>
        <v/>
      </c>
      <c r="M121" s="800">
        <f>+'Flujo Neto'!M120</f>
        <v/>
      </c>
      <c r="N121" s="800">
        <f>+'Flujo Neto'!N120</f>
        <v/>
      </c>
      <c r="O121" s="800">
        <f>+'Flujo Neto'!O120</f>
        <v/>
      </c>
      <c r="P121" s="800">
        <f>+'Flujo Neto'!P120</f>
        <v/>
      </c>
      <c r="Q121" s="800">
        <f>+'Flujo Neto'!Q120</f>
        <v/>
      </c>
      <c r="R121" s="800">
        <f>+'Flujo Neto'!R120</f>
        <v/>
      </c>
      <c r="S121" s="800">
        <f>+'Flujo Neto'!S120</f>
        <v/>
      </c>
      <c r="T121" s="800">
        <f>+'Flujo Neto'!T120</f>
        <v/>
      </c>
      <c r="U121" s="800" t="n"/>
      <c r="V121" s="800">
        <f>+'Flujo Neto'!V120</f>
        <v/>
      </c>
      <c r="W121" s="800">
        <f>+'Flujo Neto'!W120</f>
        <v/>
      </c>
      <c r="X121" s="800">
        <f>+'Flujo Neto'!X120</f>
        <v/>
      </c>
      <c r="Y121" s="800">
        <f>+'Flujo Neto'!Y120</f>
        <v/>
      </c>
      <c r="Z121" s="800">
        <f>+'Flujo Neto'!Z120</f>
        <v/>
      </c>
      <c r="AA121" s="800">
        <f>+'Flujo Neto'!AA120</f>
        <v/>
      </c>
      <c r="AB121" s="800">
        <f>+'Flujo Neto'!AB120</f>
        <v/>
      </c>
      <c r="AC121" s="800">
        <f>+'Flujo Neto'!AC120</f>
        <v/>
      </c>
      <c r="AD121" s="800">
        <f>+'Flujo Neto'!AD120</f>
        <v/>
      </c>
      <c r="AE121" s="800">
        <f>+'Flujo Neto'!AE120</f>
        <v/>
      </c>
      <c r="AF121" s="800">
        <f>+'Flujo Neto'!AF120</f>
        <v/>
      </c>
      <c r="AG121" s="800">
        <f>+'Flujo Neto'!AG120</f>
        <v/>
      </c>
      <c r="AH121" s="800">
        <f>+'Flujo Neto'!AH120</f>
        <v/>
      </c>
      <c r="AI121" s="686" t="n"/>
      <c r="AJ121" s="686" t="n"/>
      <c r="AK121" s="686" t="n"/>
      <c r="AL121" s="686" t="n"/>
      <c r="AM121" s="686" t="n"/>
      <c r="AN121" s="686" t="n"/>
      <c r="AO121" s="686" t="n"/>
    </row>
    <row r="122" ht="14" customHeight="1" s="549">
      <c r="A122" s="681" t="n"/>
      <c r="B122" s="681" t="inlineStr">
        <is>
          <t>Factura</t>
        </is>
      </c>
      <c r="C122" s="783" t="inlineStr">
        <is>
          <t>8.1</t>
        </is>
      </c>
      <c r="D122" s="784" t="inlineStr">
        <is>
          <t>Traslados de personal</t>
        </is>
      </c>
      <c r="E122" s="785">
        <f>+E50</f>
        <v/>
      </c>
      <c r="F122" s="784" t="n"/>
      <c r="G122" s="681" t="n"/>
      <c r="H122" s="799">
        <f>+'Flujo Neto'!H121</f>
        <v/>
      </c>
      <c r="I122" s="799">
        <f>+'Flujo Neto'!I121</f>
        <v/>
      </c>
      <c r="J122" s="799">
        <f>+'Flujo Neto'!J121</f>
        <v/>
      </c>
      <c r="K122" s="799">
        <f>+'Flujo Neto'!K121</f>
        <v/>
      </c>
      <c r="L122" s="799">
        <f>+'Flujo Neto'!L121</f>
        <v/>
      </c>
      <c r="M122" s="799">
        <f>+'Flujo Neto'!M121</f>
        <v/>
      </c>
      <c r="N122" s="799">
        <f>+'Flujo Neto'!N121</f>
        <v/>
      </c>
      <c r="O122" s="799">
        <f>+'Flujo Neto'!O121</f>
        <v/>
      </c>
      <c r="P122" s="799">
        <f>+'Flujo Neto'!P121</f>
        <v/>
      </c>
      <c r="Q122" s="799">
        <f>+'Flujo Neto'!Q121</f>
        <v/>
      </c>
      <c r="R122" s="799">
        <f>+'Flujo Neto'!R121</f>
        <v/>
      </c>
      <c r="S122" s="799">
        <f>+'Flujo Neto'!S121</f>
        <v/>
      </c>
      <c r="T122" s="799">
        <f>+'Flujo Neto'!T121</f>
        <v/>
      </c>
      <c r="U122" s="799" t="n"/>
      <c r="V122" s="799">
        <f>+'Flujo Neto'!V121</f>
        <v/>
      </c>
      <c r="W122" s="799">
        <f>+'Flujo Neto'!W121</f>
        <v/>
      </c>
      <c r="X122" s="799">
        <f>+'Flujo Neto'!X121</f>
        <v/>
      </c>
      <c r="Y122" s="799">
        <f>+'Flujo Neto'!Y121</f>
        <v/>
      </c>
      <c r="Z122" s="799">
        <f>+'Flujo Neto'!Z121</f>
        <v/>
      </c>
      <c r="AA122" s="799">
        <f>+'Flujo Neto'!AA121</f>
        <v/>
      </c>
      <c r="AB122" s="799">
        <f>+'Flujo Neto'!AB121</f>
        <v/>
      </c>
      <c r="AC122" s="799">
        <f>+'Flujo Neto'!AC121</f>
        <v/>
      </c>
      <c r="AD122" s="799">
        <f>+'Flujo Neto'!AD121</f>
        <v/>
      </c>
      <c r="AE122" s="799">
        <f>+'Flujo Neto'!AE121</f>
        <v/>
      </c>
      <c r="AF122" s="799">
        <f>+'Flujo Neto'!AF121</f>
        <v/>
      </c>
      <c r="AG122" s="799">
        <f>+'Flujo Neto'!AG121</f>
        <v/>
      </c>
      <c r="AH122" s="799">
        <f>+'Flujo Neto'!AH121</f>
        <v/>
      </c>
      <c r="AI122" s="681" t="n"/>
      <c r="AJ122" s="681" t="n"/>
      <c r="AK122" s="681" t="n"/>
      <c r="AL122" s="681" t="n"/>
      <c r="AM122" s="681" t="n"/>
      <c r="AN122" s="681" t="n"/>
      <c r="AO122" s="681" t="n"/>
    </row>
    <row r="123" ht="14" customHeight="1" s="549">
      <c r="A123" s="686" t="n"/>
      <c r="B123" s="686" t="inlineStr">
        <is>
          <t xml:space="preserve">Factura o Boleta </t>
        </is>
      </c>
      <c r="C123" s="788" t="inlineStr">
        <is>
          <t>8.2</t>
        </is>
      </c>
      <c r="D123" s="789" t="inlineStr">
        <is>
          <t>Alojamiento</t>
        </is>
      </c>
      <c r="E123" s="790">
        <f>+E51</f>
        <v/>
      </c>
      <c r="F123" s="789" t="n"/>
      <c r="G123" s="686" t="n"/>
      <c r="H123" s="800">
        <f>+'Flujo Neto'!H122</f>
        <v/>
      </c>
      <c r="I123" s="800">
        <f>+'Flujo Neto'!I122</f>
        <v/>
      </c>
      <c r="J123" s="800">
        <f>+'Flujo Neto'!J122</f>
        <v/>
      </c>
      <c r="K123" s="800">
        <f>+'Flujo Neto'!K122</f>
        <v/>
      </c>
      <c r="L123" s="800">
        <f>+'Flujo Neto'!L122</f>
        <v/>
      </c>
      <c r="M123" s="800">
        <f>+'Flujo Neto'!M122</f>
        <v/>
      </c>
      <c r="N123" s="800">
        <f>+'Flujo Neto'!N122</f>
        <v/>
      </c>
      <c r="O123" s="800">
        <f>+'Flujo Neto'!O122</f>
        <v/>
      </c>
      <c r="P123" s="800">
        <f>+'Flujo Neto'!P122</f>
        <v/>
      </c>
      <c r="Q123" s="800">
        <f>+'Flujo Neto'!Q122</f>
        <v/>
      </c>
      <c r="R123" s="800">
        <f>+'Flujo Neto'!R122</f>
        <v/>
      </c>
      <c r="S123" s="800">
        <f>+'Flujo Neto'!S122</f>
        <v/>
      </c>
      <c r="T123" s="800">
        <f>+'Flujo Neto'!T122</f>
        <v/>
      </c>
      <c r="U123" s="800" t="n"/>
      <c r="V123" s="800">
        <f>+'Flujo Neto'!V122</f>
        <v/>
      </c>
      <c r="W123" s="800">
        <f>+'Flujo Neto'!W122</f>
        <v/>
      </c>
      <c r="X123" s="800">
        <f>+'Flujo Neto'!X122</f>
        <v/>
      </c>
      <c r="Y123" s="800">
        <f>+'Flujo Neto'!Y122</f>
        <v/>
      </c>
      <c r="Z123" s="800">
        <f>+'Flujo Neto'!Z122</f>
        <v/>
      </c>
      <c r="AA123" s="800">
        <f>+'Flujo Neto'!AA122</f>
        <v/>
      </c>
      <c r="AB123" s="800">
        <f>+'Flujo Neto'!AB122</f>
        <v/>
      </c>
      <c r="AC123" s="800">
        <f>+'Flujo Neto'!AC122</f>
        <v/>
      </c>
      <c r="AD123" s="800">
        <f>+'Flujo Neto'!AD122</f>
        <v/>
      </c>
      <c r="AE123" s="800">
        <f>+'Flujo Neto'!AE122</f>
        <v/>
      </c>
      <c r="AF123" s="800">
        <f>+'Flujo Neto'!AF122</f>
        <v/>
      </c>
      <c r="AG123" s="800">
        <f>+'Flujo Neto'!AG122</f>
        <v/>
      </c>
      <c r="AH123" s="800">
        <f>+'Flujo Neto'!AH122</f>
        <v/>
      </c>
      <c r="AI123" s="686" t="n"/>
      <c r="AJ123" s="686" t="n"/>
      <c r="AK123" s="686" t="n"/>
      <c r="AL123" s="686" t="n"/>
      <c r="AM123" s="686" t="n"/>
      <c r="AN123" s="686" t="n"/>
      <c r="AO123" s="686" t="n"/>
    </row>
    <row r="124" ht="14" customHeight="1" s="549">
      <c r="A124" s="681" t="n"/>
      <c r="B124" s="681" t="inlineStr">
        <is>
          <t xml:space="preserve">Boleta </t>
        </is>
      </c>
      <c r="C124" s="783" t="inlineStr">
        <is>
          <t>8.3</t>
        </is>
      </c>
      <c r="D124" s="784" t="inlineStr">
        <is>
          <t>Alimentación</t>
        </is>
      </c>
      <c r="E124" s="785">
        <f>+E52</f>
        <v/>
      </c>
      <c r="F124" s="784" t="n"/>
      <c r="G124" s="681" t="n"/>
      <c r="H124" s="799">
        <f>+'Flujo Neto'!H123</f>
        <v/>
      </c>
      <c r="I124" s="799">
        <f>+'Flujo Neto'!I123</f>
        <v/>
      </c>
      <c r="J124" s="799">
        <f>+'Flujo Neto'!J123</f>
        <v/>
      </c>
      <c r="K124" s="799">
        <f>+'Flujo Neto'!K123</f>
        <v/>
      </c>
      <c r="L124" s="799">
        <f>+'Flujo Neto'!L123</f>
        <v/>
      </c>
      <c r="M124" s="799">
        <f>+'Flujo Neto'!M123</f>
        <v/>
      </c>
      <c r="N124" s="799">
        <f>+'Flujo Neto'!N123</f>
        <v/>
      </c>
      <c r="O124" s="799">
        <f>+'Flujo Neto'!O123</f>
        <v/>
      </c>
      <c r="P124" s="799">
        <f>+'Flujo Neto'!P123</f>
        <v/>
      </c>
      <c r="Q124" s="799">
        <f>+'Flujo Neto'!Q123</f>
        <v/>
      </c>
      <c r="R124" s="799">
        <f>+'Flujo Neto'!R123</f>
        <v/>
      </c>
      <c r="S124" s="799">
        <f>+'Flujo Neto'!S123</f>
        <v/>
      </c>
      <c r="T124" s="799">
        <f>+'Flujo Neto'!T123</f>
        <v/>
      </c>
      <c r="U124" s="799" t="n"/>
      <c r="V124" s="799">
        <f>+'Flujo Neto'!V123</f>
        <v/>
      </c>
      <c r="W124" s="799">
        <f>+'Flujo Neto'!W123</f>
        <v/>
      </c>
      <c r="X124" s="799">
        <f>+'Flujo Neto'!X123</f>
        <v/>
      </c>
      <c r="Y124" s="799">
        <f>+'Flujo Neto'!Y123</f>
        <v/>
      </c>
      <c r="Z124" s="799">
        <f>+'Flujo Neto'!Z123</f>
        <v/>
      </c>
      <c r="AA124" s="799">
        <f>+'Flujo Neto'!AA123</f>
        <v/>
      </c>
      <c r="AB124" s="799">
        <f>+'Flujo Neto'!AB123</f>
        <v/>
      </c>
      <c r="AC124" s="799">
        <f>+'Flujo Neto'!AC123</f>
        <v/>
      </c>
      <c r="AD124" s="799">
        <f>+'Flujo Neto'!AD123</f>
        <v/>
      </c>
      <c r="AE124" s="799">
        <f>+'Flujo Neto'!AE123</f>
        <v/>
      </c>
      <c r="AF124" s="799">
        <f>+'Flujo Neto'!AF123</f>
        <v/>
      </c>
      <c r="AG124" s="799">
        <f>+'Flujo Neto'!AG123</f>
        <v/>
      </c>
      <c r="AH124" s="799">
        <f>+'Flujo Neto'!AH123</f>
        <v/>
      </c>
      <c r="AI124" s="681" t="n"/>
      <c r="AJ124" s="681" t="n"/>
      <c r="AK124" s="681" t="n"/>
      <c r="AL124" s="681" t="n"/>
      <c r="AM124" s="681" t="n"/>
      <c r="AN124" s="681" t="n"/>
      <c r="AO124" s="681" t="n"/>
    </row>
    <row r="125" ht="14" customHeight="1" s="549">
      <c r="A125" s="686" t="n"/>
      <c r="B125" s="686" t="inlineStr">
        <is>
          <t xml:space="preserve">Factura o Boleta </t>
        </is>
      </c>
      <c r="C125" s="788" t="inlineStr">
        <is>
          <t>8.4</t>
        </is>
      </c>
      <c r="D125" s="789" t="inlineStr">
        <is>
          <t>Combustible arriendo diario</t>
        </is>
      </c>
      <c r="E125" s="790">
        <f>+E53</f>
        <v/>
      </c>
      <c r="F125" s="789" t="n"/>
      <c r="G125" s="686" t="n"/>
      <c r="H125" s="800">
        <f>+'Flujo Neto'!H124</f>
        <v/>
      </c>
      <c r="I125" s="800">
        <f>+'Flujo Neto'!I124</f>
        <v/>
      </c>
      <c r="J125" s="800">
        <f>+'Flujo Neto'!J124</f>
        <v/>
      </c>
      <c r="K125" s="800">
        <f>+'Flujo Neto'!K124</f>
        <v/>
      </c>
      <c r="L125" s="800">
        <f>+'Flujo Neto'!L124</f>
        <v/>
      </c>
      <c r="M125" s="800">
        <f>+'Flujo Neto'!M124</f>
        <v/>
      </c>
      <c r="N125" s="800">
        <f>+'Flujo Neto'!N124</f>
        <v/>
      </c>
      <c r="O125" s="800">
        <f>+'Flujo Neto'!O124</f>
        <v/>
      </c>
      <c r="P125" s="800">
        <f>+'Flujo Neto'!P124</f>
        <v/>
      </c>
      <c r="Q125" s="800">
        <f>+'Flujo Neto'!Q124</f>
        <v/>
      </c>
      <c r="R125" s="800">
        <f>+'Flujo Neto'!R124</f>
        <v/>
      </c>
      <c r="S125" s="800">
        <f>+'Flujo Neto'!S124</f>
        <v/>
      </c>
      <c r="T125" s="800">
        <f>+'Flujo Neto'!T124</f>
        <v/>
      </c>
      <c r="U125" s="800" t="n"/>
      <c r="V125" s="800">
        <f>+'Flujo Neto'!V124</f>
        <v/>
      </c>
      <c r="W125" s="800">
        <f>+'Flujo Neto'!W124</f>
        <v/>
      </c>
      <c r="X125" s="800">
        <f>+'Flujo Neto'!X124</f>
        <v/>
      </c>
      <c r="Y125" s="800">
        <f>+'Flujo Neto'!Y124</f>
        <v/>
      </c>
      <c r="Z125" s="800">
        <f>+'Flujo Neto'!Z124</f>
        <v/>
      </c>
      <c r="AA125" s="800">
        <f>+'Flujo Neto'!AA124</f>
        <v/>
      </c>
      <c r="AB125" s="800">
        <f>+'Flujo Neto'!AB124</f>
        <v/>
      </c>
      <c r="AC125" s="800">
        <f>+'Flujo Neto'!AC124</f>
        <v/>
      </c>
      <c r="AD125" s="800">
        <f>+'Flujo Neto'!AD124</f>
        <v/>
      </c>
      <c r="AE125" s="800">
        <f>+'Flujo Neto'!AE124</f>
        <v/>
      </c>
      <c r="AF125" s="800">
        <f>+'Flujo Neto'!AF124</f>
        <v/>
      </c>
      <c r="AG125" s="800">
        <f>+'Flujo Neto'!AG124</f>
        <v/>
      </c>
      <c r="AH125" s="800">
        <f>+'Flujo Neto'!AH124</f>
        <v/>
      </c>
      <c r="AI125" s="686" t="n"/>
      <c r="AJ125" s="686" t="n"/>
      <c r="AK125" s="686" t="n"/>
      <c r="AL125" s="686" t="n"/>
      <c r="AM125" s="686" t="n"/>
      <c r="AN125" s="686" t="n"/>
      <c r="AO125" s="686" t="n"/>
    </row>
    <row r="126" ht="14" customHeight="1" s="549">
      <c r="A126" s="681" t="n"/>
      <c r="B126" s="681" t="inlineStr">
        <is>
          <t xml:space="preserve">Factura o Boleta </t>
        </is>
      </c>
      <c r="C126" s="783" t="inlineStr">
        <is>
          <t>8.5</t>
        </is>
      </c>
      <c r="D126" s="784" t="inlineStr">
        <is>
          <t>Combustible arriendo mensual</t>
        </is>
      </c>
      <c r="E126" s="785">
        <f>+E54</f>
        <v/>
      </c>
      <c r="F126" s="784" t="n"/>
      <c r="G126" s="681" t="n"/>
      <c r="H126" s="799">
        <f>+'Flujo Neto'!H125</f>
        <v/>
      </c>
      <c r="I126" s="799">
        <f>+'Flujo Neto'!I125</f>
        <v/>
      </c>
      <c r="J126" s="799">
        <f>+'Flujo Neto'!J125</f>
        <v/>
      </c>
      <c r="K126" s="799">
        <f>+'Flujo Neto'!K125</f>
        <v/>
      </c>
      <c r="L126" s="799">
        <f>+'Flujo Neto'!L125</f>
        <v/>
      </c>
      <c r="M126" s="799">
        <f>+'Flujo Neto'!M125</f>
        <v/>
      </c>
      <c r="N126" s="799">
        <f>+'Flujo Neto'!N125</f>
        <v/>
      </c>
      <c r="O126" s="799">
        <f>+'Flujo Neto'!O125</f>
        <v/>
      </c>
      <c r="P126" s="799">
        <f>+'Flujo Neto'!P125</f>
        <v/>
      </c>
      <c r="Q126" s="799">
        <f>+'Flujo Neto'!Q125</f>
        <v/>
      </c>
      <c r="R126" s="799">
        <f>+'Flujo Neto'!R125</f>
        <v/>
      </c>
      <c r="S126" s="799">
        <f>+'Flujo Neto'!S125</f>
        <v/>
      </c>
      <c r="T126" s="799">
        <f>+'Flujo Neto'!T125</f>
        <v/>
      </c>
      <c r="U126" s="799" t="n"/>
      <c r="V126" s="799">
        <f>+'Flujo Neto'!V125</f>
        <v/>
      </c>
      <c r="W126" s="799">
        <f>+'Flujo Neto'!W125</f>
        <v/>
      </c>
      <c r="X126" s="799">
        <f>+'Flujo Neto'!X125</f>
        <v/>
      </c>
      <c r="Y126" s="799">
        <f>+'Flujo Neto'!Y125</f>
        <v/>
      </c>
      <c r="Z126" s="799">
        <f>+'Flujo Neto'!Z125</f>
        <v/>
      </c>
      <c r="AA126" s="799">
        <f>+'Flujo Neto'!AA125</f>
        <v/>
      </c>
      <c r="AB126" s="799">
        <f>+'Flujo Neto'!AB125</f>
        <v/>
      </c>
      <c r="AC126" s="799">
        <f>+'Flujo Neto'!AC125</f>
        <v/>
      </c>
      <c r="AD126" s="799">
        <f>+'Flujo Neto'!AD125</f>
        <v/>
      </c>
      <c r="AE126" s="799">
        <f>+'Flujo Neto'!AE125</f>
        <v/>
      </c>
      <c r="AF126" s="799">
        <f>+'Flujo Neto'!AF125</f>
        <v/>
      </c>
      <c r="AG126" s="799">
        <f>+'Flujo Neto'!AG125</f>
        <v/>
      </c>
      <c r="AH126" s="799">
        <f>+'Flujo Neto'!AH125</f>
        <v/>
      </c>
      <c r="AI126" s="681" t="n"/>
      <c r="AJ126" s="681" t="n"/>
      <c r="AK126" s="681" t="n"/>
      <c r="AL126" s="681" t="n"/>
      <c r="AM126" s="681" t="n"/>
      <c r="AN126" s="681" t="n"/>
      <c r="AO126" s="681" t="n"/>
    </row>
    <row r="127" ht="14" customHeight="1" s="549">
      <c r="A127" s="686" t="n"/>
      <c r="B127" s="686" t="inlineStr">
        <is>
          <t xml:space="preserve">Boleta </t>
        </is>
      </c>
      <c r="C127" s="788" t="inlineStr">
        <is>
          <t>8.6</t>
        </is>
      </c>
      <c r="D127" s="789" t="inlineStr">
        <is>
          <t>Peajes</t>
        </is>
      </c>
      <c r="E127" s="790">
        <f>+E55</f>
        <v/>
      </c>
      <c r="F127" s="789" t="n"/>
      <c r="G127" s="686" t="n"/>
      <c r="H127" s="800">
        <f>+'Flujo Neto'!H126</f>
        <v/>
      </c>
      <c r="I127" s="800">
        <f>+'Flujo Neto'!I126</f>
        <v/>
      </c>
      <c r="J127" s="800">
        <f>+'Flujo Neto'!J126</f>
        <v/>
      </c>
      <c r="K127" s="800">
        <f>+'Flujo Neto'!K126</f>
        <v/>
      </c>
      <c r="L127" s="800">
        <f>+'Flujo Neto'!L126</f>
        <v/>
      </c>
      <c r="M127" s="800">
        <f>+'Flujo Neto'!M126</f>
        <v/>
      </c>
      <c r="N127" s="800">
        <f>+'Flujo Neto'!N126</f>
        <v/>
      </c>
      <c r="O127" s="800">
        <f>+'Flujo Neto'!O126</f>
        <v/>
      </c>
      <c r="P127" s="800">
        <f>+'Flujo Neto'!P126</f>
        <v/>
      </c>
      <c r="Q127" s="800">
        <f>+'Flujo Neto'!Q126</f>
        <v/>
      </c>
      <c r="R127" s="800">
        <f>+'Flujo Neto'!R126</f>
        <v/>
      </c>
      <c r="S127" s="800">
        <f>+'Flujo Neto'!S126</f>
        <v/>
      </c>
      <c r="T127" s="800">
        <f>+'Flujo Neto'!T126</f>
        <v/>
      </c>
      <c r="U127" s="800" t="n"/>
      <c r="V127" s="800">
        <f>+'Flujo Neto'!V126</f>
        <v/>
      </c>
      <c r="W127" s="800">
        <f>+'Flujo Neto'!W126</f>
        <v/>
      </c>
      <c r="X127" s="800">
        <f>+'Flujo Neto'!X126</f>
        <v/>
      </c>
      <c r="Y127" s="800">
        <f>+'Flujo Neto'!Y126</f>
        <v/>
      </c>
      <c r="Z127" s="800">
        <f>+'Flujo Neto'!Z126</f>
        <v/>
      </c>
      <c r="AA127" s="800">
        <f>+'Flujo Neto'!AA126</f>
        <v/>
      </c>
      <c r="AB127" s="800">
        <f>+'Flujo Neto'!AB126</f>
        <v/>
      </c>
      <c r="AC127" s="800">
        <f>+'Flujo Neto'!AC126</f>
        <v/>
      </c>
      <c r="AD127" s="800">
        <f>+'Flujo Neto'!AD126</f>
        <v/>
      </c>
      <c r="AE127" s="800">
        <f>+'Flujo Neto'!AE126</f>
        <v/>
      </c>
      <c r="AF127" s="800">
        <f>+'Flujo Neto'!AF126</f>
        <v/>
      </c>
      <c r="AG127" s="800">
        <f>+'Flujo Neto'!AG126</f>
        <v/>
      </c>
      <c r="AH127" s="800">
        <f>+'Flujo Neto'!AH126</f>
        <v/>
      </c>
      <c r="AI127" s="686" t="n"/>
      <c r="AJ127" s="686" t="n"/>
      <c r="AK127" s="686" t="n"/>
      <c r="AL127" s="686" t="n"/>
      <c r="AM127" s="686" t="n"/>
      <c r="AN127" s="686" t="n"/>
      <c r="AO127" s="686" t="n"/>
    </row>
    <row r="128" ht="14" customHeight="1" s="549">
      <c r="A128" s="681" t="n"/>
      <c r="B128" s="681" t="n"/>
      <c r="C128" s="712" t="inlineStr">
        <is>
          <t>9.</t>
        </is>
      </c>
      <c r="D128" s="688" t="inlineStr">
        <is>
          <t>Viajes Gestión Técnica</t>
        </is>
      </c>
      <c r="E128" s="792">
        <f>+E56</f>
        <v/>
      </c>
      <c r="F128" s="688" t="n"/>
      <c r="G128" s="681" t="n"/>
      <c r="H128" s="799">
        <f>+'Flujo Neto'!H127</f>
        <v/>
      </c>
      <c r="I128" s="799">
        <f>+'Flujo Neto'!I127</f>
        <v/>
      </c>
      <c r="J128" s="799">
        <f>+'Flujo Neto'!J127</f>
        <v/>
      </c>
      <c r="K128" s="799">
        <f>+'Flujo Neto'!K127</f>
        <v/>
      </c>
      <c r="L128" s="799">
        <f>+'Flujo Neto'!L127</f>
        <v/>
      </c>
      <c r="M128" s="799">
        <f>+'Flujo Neto'!M127</f>
        <v/>
      </c>
      <c r="N128" s="799">
        <f>+'Flujo Neto'!N127</f>
        <v/>
      </c>
      <c r="O128" s="799">
        <f>+'Flujo Neto'!O127</f>
        <v/>
      </c>
      <c r="P128" s="799">
        <f>+'Flujo Neto'!P127</f>
        <v/>
      </c>
      <c r="Q128" s="799">
        <f>+'Flujo Neto'!Q127</f>
        <v/>
      </c>
      <c r="R128" s="799">
        <f>+'Flujo Neto'!R127</f>
        <v/>
      </c>
      <c r="S128" s="799">
        <f>+'Flujo Neto'!S127</f>
        <v/>
      </c>
      <c r="T128" s="799">
        <f>+'Flujo Neto'!T127</f>
        <v/>
      </c>
      <c r="U128" s="799" t="n"/>
      <c r="V128" s="799">
        <f>+'Flujo Neto'!V127</f>
        <v/>
      </c>
      <c r="W128" s="799">
        <f>+'Flujo Neto'!W127</f>
        <v/>
      </c>
      <c r="X128" s="799">
        <f>+'Flujo Neto'!X127</f>
        <v/>
      </c>
      <c r="Y128" s="799">
        <f>+'Flujo Neto'!Y127</f>
        <v/>
      </c>
      <c r="Z128" s="799">
        <f>+'Flujo Neto'!Z127</f>
        <v/>
      </c>
      <c r="AA128" s="799">
        <f>+'Flujo Neto'!AA127</f>
        <v/>
      </c>
      <c r="AB128" s="799">
        <f>+'Flujo Neto'!AB127</f>
        <v/>
      </c>
      <c r="AC128" s="799">
        <f>+'Flujo Neto'!AC127</f>
        <v/>
      </c>
      <c r="AD128" s="799">
        <f>+'Flujo Neto'!AD127</f>
        <v/>
      </c>
      <c r="AE128" s="799">
        <f>+'Flujo Neto'!AE127</f>
        <v/>
      </c>
      <c r="AF128" s="799">
        <f>+'Flujo Neto'!AF127</f>
        <v/>
      </c>
      <c r="AG128" s="799">
        <f>+'Flujo Neto'!AG127</f>
        <v/>
      </c>
      <c r="AH128" s="799">
        <f>+'Flujo Neto'!AH127</f>
        <v/>
      </c>
      <c r="AI128" s="681" t="n"/>
      <c r="AJ128" s="681" t="n"/>
      <c r="AK128" s="681" t="n"/>
      <c r="AL128" s="681" t="n"/>
      <c r="AM128" s="681" t="n"/>
      <c r="AN128" s="681" t="n"/>
      <c r="AO128" s="681" t="n"/>
    </row>
    <row r="129" ht="14" customHeight="1" s="549">
      <c r="A129" s="686" t="n"/>
      <c r="B129" s="686" t="inlineStr">
        <is>
          <t>Factura</t>
        </is>
      </c>
      <c r="C129" s="788" t="inlineStr">
        <is>
          <t>9.1</t>
        </is>
      </c>
      <c r="D129" s="789" t="inlineStr">
        <is>
          <t>Traslados de personal</t>
        </is>
      </c>
      <c r="E129" s="790">
        <f>+E57</f>
        <v/>
      </c>
      <c r="F129" s="789" t="n"/>
      <c r="G129" s="686" t="n"/>
      <c r="H129" s="800">
        <f>+'Flujo Neto'!H128</f>
        <v/>
      </c>
      <c r="I129" s="800">
        <f>+'Flujo Neto'!I128</f>
        <v/>
      </c>
      <c r="J129" s="800">
        <f>+'Flujo Neto'!J128</f>
        <v/>
      </c>
      <c r="K129" s="800">
        <f>+'Flujo Neto'!K128</f>
        <v/>
      </c>
      <c r="L129" s="800">
        <f>+'Flujo Neto'!L128</f>
        <v/>
      </c>
      <c r="M129" s="800">
        <f>+'Flujo Neto'!M128</f>
        <v/>
      </c>
      <c r="N129" s="800">
        <f>+'Flujo Neto'!N128</f>
        <v/>
      </c>
      <c r="O129" s="800">
        <f>+'Flujo Neto'!O128</f>
        <v/>
      </c>
      <c r="P129" s="800">
        <f>+'Flujo Neto'!P128</f>
        <v/>
      </c>
      <c r="Q129" s="800">
        <f>+'Flujo Neto'!Q128</f>
        <v/>
      </c>
      <c r="R129" s="800">
        <f>+'Flujo Neto'!R128</f>
        <v/>
      </c>
      <c r="S129" s="800">
        <f>+'Flujo Neto'!S128</f>
        <v/>
      </c>
      <c r="T129" s="800">
        <f>+'Flujo Neto'!T128</f>
        <v/>
      </c>
      <c r="U129" s="800" t="n"/>
      <c r="V129" s="800">
        <f>+'Flujo Neto'!V128</f>
        <v/>
      </c>
      <c r="W129" s="800">
        <f>+'Flujo Neto'!W128</f>
        <v/>
      </c>
      <c r="X129" s="800">
        <f>+'Flujo Neto'!X128</f>
        <v/>
      </c>
      <c r="Y129" s="800">
        <f>+'Flujo Neto'!Y128</f>
        <v/>
      </c>
      <c r="Z129" s="800">
        <f>+'Flujo Neto'!Z128</f>
        <v/>
      </c>
      <c r="AA129" s="800">
        <f>+'Flujo Neto'!AA128</f>
        <v/>
      </c>
      <c r="AB129" s="800">
        <f>+'Flujo Neto'!AB128</f>
        <v/>
      </c>
      <c r="AC129" s="800">
        <f>+'Flujo Neto'!AC128</f>
        <v/>
      </c>
      <c r="AD129" s="800">
        <f>+'Flujo Neto'!AD128</f>
        <v/>
      </c>
      <c r="AE129" s="800">
        <f>+'Flujo Neto'!AE128</f>
        <v/>
      </c>
      <c r="AF129" s="800">
        <f>+'Flujo Neto'!AF128</f>
        <v/>
      </c>
      <c r="AG129" s="800">
        <f>+'Flujo Neto'!AG128</f>
        <v/>
      </c>
      <c r="AH129" s="800">
        <f>+'Flujo Neto'!AH128</f>
        <v/>
      </c>
      <c r="AI129" s="686" t="n"/>
      <c r="AJ129" s="686" t="n"/>
      <c r="AK129" s="686" t="n"/>
      <c r="AL129" s="686" t="n"/>
      <c r="AM129" s="686" t="n"/>
      <c r="AN129" s="686" t="n"/>
      <c r="AO129" s="686" t="n"/>
    </row>
    <row r="130" ht="14" customHeight="1" s="549">
      <c r="A130" s="681" t="n"/>
      <c r="B130" s="681" t="inlineStr">
        <is>
          <t xml:space="preserve">Factura o Boleta </t>
        </is>
      </c>
      <c r="C130" s="783" t="inlineStr">
        <is>
          <t>9.2</t>
        </is>
      </c>
      <c r="D130" s="784" t="inlineStr">
        <is>
          <t>Alojamiento</t>
        </is>
      </c>
      <c r="E130" s="785">
        <f>+E58</f>
        <v/>
      </c>
      <c r="F130" s="784" t="n"/>
      <c r="G130" s="681" t="n"/>
      <c r="H130" s="799">
        <f>+'Flujo Neto'!H129</f>
        <v/>
      </c>
      <c r="I130" s="799">
        <f>+'Flujo Neto'!I129</f>
        <v/>
      </c>
      <c r="J130" s="799">
        <f>+'Flujo Neto'!J129</f>
        <v/>
      </c>
      <c r="K130" s="799">
        <f>+'Flujo Neto'!K129</f>
        <v/>
      </c>
      <c r="L130" s="799">
        <f>+'Flujo Neto'!L129</f>
        <v/>
      </c>
      <c r="M130" s="799">
        <f>+'Flujo Neto'!M129</f>
        <v/>
      </c>
      <c r="N130" s="799">
        <f>+'Flujo Neto'!N129</f>
        <v/>
      </c>
      <c r="O130" s="799">
        <f>+'Flujo Neto'!O129</f>
        <v/>
      </c>
      <c r="P130" s="799">
        <f>+'Flujo Neto'!P129</f>
        <v/>
      </c>
      <c r="Q130" s="799">
        <f>+'Flujo Neto'!Q129</f>
        <v/>
      </c>
      <c r="R130" s="799">
        <f>+'Flujo Neto'!R129</f>
        <v/>
      </c>
      <c r="S130" s="799">
        <f>+'Flujo Neto'!S129</f>
        <v/>
      </c>
      <c r="T130" s="799">
        <f>+'Flujo Neto'!T129</f>
        <v/>
      </c>
      <c r="U130" s="799" t="n"/>
      <c r="V130" s="799">
        <f>+'Flujo Neto'!V129</f>
        <v/>
      </c>
      <c r="W130" s="799">
        <f>+'Flujo Neto'!W129</f>
        <v/>
      </c>
      <c r="X130" s="799">
        <f>+'Flujo Neto'!X129</f>
        <v/>
      </c>
      <c r="Y130" s="799">
        <f>+'Flujo Neto'!Y129</f>
        <v/>
      </c>
      <c r="Z130" s="799">
        <f>+'Flujo Neto'!Z129</f>
        <v/>
      </c>
      <c r="AA130" s="799">
        <f>+'Flujo Neto'!AA129</f>
        <v/>
      </c>
      <c r="AB130" s="799">
        <f>+'Flujo Neto'!AB129</f>
        <v/>
      </c>
      <c r="AC130" s="799">
        <f>+'Flujo Neto'!AC129</f>
        <v/>
      </c>
      <c r="AD130" s="799">
        <f>+'Flujo Neto'!AD129</f>
        <v/>
      </c>
      <c r="AE130" s="799">
        <f>+'Flujo Neto'!AE129</f>
        <v/>
      </c>
      <c r="AF130" s="799">
        <f>+'Flujo Neto'!AF129</f>
        <v/>
      </c>
      <c r="AG130" s="799">
        <f>+'Flujo Neto'!AG129</f>
        <v/>
      </c>
      <c r="AH130" s="799">
        <f>+'Flujo Neto'!AH129</f>
        <v/>
      </c>
      <c r="AI130" s="681" t="n"/>
      <c r="AJ130" s="681" t="n"/>
      <c r="AK130" s="681" t="n"/>
      <c r="AL130" s="681" t="n"/>
      <c r="AM130" s="681" t="n"/>
      <c r="AN130" s="681" t="n"/>
      <c r="AO130" s="681" t="n"/>
    </row>
    <row r="131" ht="14" customHeight="1" s="549">
      <c r="A131" s="686" t="n"/>
      <c r="B131" s="686" t="inlineStr">
        <is>
          <t xml:space="preserve">Boleta </t>
        </is>
      </c>
      <c r="C131" s="788" t="inlineStr">
        <is>
          <t>9.3</t>
        </is>
      </c>
      <c r="D131" s="789" t="inlineStr">
        <is>
          <t>Alimentación</t>
        </is>
      </c>
      <c r="E131" s="790">
        <f>+E59</f>
        <v/>
      </c>
      <c r="F131" s="789" t="n"/>
      <c r="G131" s="686" t="n"/>
      <c r="H131" s="800">
        <f>+'Flujo Neto'!H130</f>
        <v/>
      </c>
      <c r="I131" s="800">
        <f>+'Flujo Neto'!I130</f>
        <v/>
      </c>
      <c r="J131" s="800">
        <f>+'Flujo Neto'!J130</f>
        <v/>
      </c>
      <c r="K131" s="800">
        <f>+'Flujo Neto'!K130</f>
        <v/>
      </c>
      <c r="L131" s="800">
        <f>+'Flujo Neto'!L130</f>
        <v/>
      </c>
      <c r="M131" s="800">
        <f>+'Flujo Neto'!M130</f>
        <v/>
      </c>
      <c r="N131" s="800">
        <f>+'Flujo Neto'!N130</f>
        <v/>
      </c>
      <c r="O131" s="800">
        <f>+'Flujo Neto'!O130</f>
        <v/>
      </c>
      <c r="P131" s="800">
        <f>+'Flujo Neto'!P130</f>
        <v/>
      </c>
      <c r="Q131" s="800">
        <f>+'Flujo Neto'!Q130</f>
        <v/>
      </c>
      <c r="R131" s="800">
        <f>+'Flujo Neto'!R130</f>
        <v/>
      </c>
      <c r="S131" s="800">
        <f>+'Flujo Neto'!S130</f>
        <v/>
      </c>
      <c r="T131" s="800">
        <f>+'Flujo Neto'!T130</f>
        <v/>
      </c>
      <c r="U131" s="800" t="n"/>
      <c r="V131" s="800">
        <f>+'Flujo Neto'!V130</f>
        <v/>
      </c>
      <c r="W131" s="800">
        <f>+'Flujo Neto'!W130</f>
        <v/>
      </c>
      <c r="X131" s="800">
        <f>+'Flujo Neto'!X130</f>
        <v/>
      </c>
      <c r="Y131" s="800">
        <f>+'Flujo Neto'!Y130</f>
        <v/>
      </c>
      <c r="Z131" s="800">
        <f>+'Flujo Neto'!Z130</f>
        <v/>
      </c>
      <c r="AA131" s="800">
        <f>+'Flujo Neto'!AA130</f>
        <v/>
      </c>
      <c r="AB131" s="800">
        <f>+'Flujo Neto'!AB130</f>
        <v/>
      </c>
      <c r="AC131" s="800">
        <f>+'Flujo Neto'!AC130</f>
        <v/>
      </c>
      <c r="AD131" s="800">
        <f>+'Flujo Neto'!AD130</f>
        <v/>
      </c>
      <c r="AE131" s="800">
        <f>+'Flujo Neto'!AE130</f>
        <v/>
      </c>
      <c r="AF131" s="800">
        <f>+'Flujo Neto'!AF130</f>
        <v/>
      </c>
      <c r="AG131" s="800">
        <f>+'Flujo Neto'!AG130</f>
        <v/>
      </c>
      <c r="AH131" s="800">
        <f>+'Flujo Neto'!AH130</f>
        <v/>
      </c>
      <c r="AI131" s="686" t="n"/>
      <c r="AJ131" s="686" t="n"/>
      <c r="AK131" s="686" t="n"/>
      <c r="AL131" s="686" t="n"/>
      <c r="AM131" s="686" t="n"/>
      <c r="AN131" s="686" t="n"/>
      <c r="AO131" s="686" t="n"/>
    </row>
    <row r="132" ht="14" customHeight="1" s="549">
      <c r="A132" s="681" t="n"/>
      <c r="B132" s="681" t="inlineStr">
        <is>
          <t xml:space="preserve">Factura o Boleta </t>
        </is>
      </c>
      <c r="C132" s="783" t="inlineStr">
        <is>
          <t>9.4</t>
        </is>
      </c>
      <c r="D132" s="784" t="inlineStr">
        <is>
          <t>Combustible arriendo diario</t>
        </is>
      </c>
      <c r="E132" s="785">
        <f>+E60</f>
        <v/>
      </c>
      <c r="F132" s="784" t="n"/>
      <c r="G132" s="681" t="n"/>
      <c r="H132" s="799">
        <f>+'Flujo Neto'!H131</f>
        <v/>
      </c>
      <c r="I132" s="799">
        <f>+'Flujo Neto'!I131</f>
        <v/>
      </c>
      <c r="J132" s="799">
        <f>+'Flujo Neto'!J131</f>
        <v/>
      </c>
      <c r="K132" s="799">
        <f>+'Flujo Neto'!K131</f>
        <v/>
      </c>
      <c r="L132" s="799">
        <f>+'Flujo Neto'!L131</f>
        <v/>
      </c>
      <c r="M132" s="799">
        <f>+'Flujo Neto'!M131</f>
        <v/>
      </c>
      <c r="N132" s="799">
        <f>+'Flujo Neto'!N131</f>
        <v/>
      </c>
      <c r="O132" s="799">
        <f>+'Flujo Neto'!O131</f>
        <v/>
      </c>
      <c r="P132" s="799">
        <f>+'Flujo Neto'!P131</f>
        <v/>
      </c>
      <c r="Q132" s="799">
        <f>+'Flujo Neto'!Q131</f>
        <v/>
      </c>
      <c r="R132" s="799">
        <f>+'Flujo Neto'!R131</f>
        <v/>
      </c>
      <c r="S132" s="799">
        <f>+'Flujo Neto'!S131</f>
        <v/>
      </c>
      <c r="T132" s="799">
        <f>+'Flujo Neto'!T131</f>
        <v/>
      </c>
      <c r="U132" s="799" t="n"/>
      <c r="V132" s="799">
        <f>+'Flujo Neto'!V131</f>
        <v/>
      </c>
      <c r="W132" s="799">
        <f>+'Flujo Neto'!W131</f>
        <v/>
      </c>
      <c r="X132" s="799">
        <f>+'Flujo Neto'!X131</f>
        <v/>
      </c>
      <c r="Y132" s="799">
        <f>+'Flujo Neto'!Y131</f>
        <v/>
      </c>
      <c r="Z132" s="799">
        <f>+'Flujo Neto'!Z131</f>
        <v/>
      </c>
      <c r="AA132" s="799">
        <f>+'Flujo Neto'!AA131</f>
        <v/>
      </c>
      <c r="AB132" s="799">
        <f>+'Flujo Neto'!AB131</f>
        <v/>
      </c>
      <c r="AC132" s="799">
        <f>+'Flujo Neto'!AC131</f>
        <v/>
      </c>
      <c r="AD132" s="799">
        <f>+'Flujo Neto'!AD131</f>
        <v/>
      </c>
      <c r="AE132" s="799">
        <f>+'Flujo Neto'!AE131</f>
        <v/>
      </c>
      <c r="AF132" s="799">
        <f>+'Flujo Neto'!AF131</f>
        <v/>
      </c>
      <c r="AG132" s="799">
        <f>+'Flujo Neto'!AG131</f>
        <v/>
      </c>
      <c r="AH132" s="799">
        <f>+'Flujo Neto'!AH131</f>
        <v/>
      </c>
      <c r="AI132" s="681" t="n"/>
      <c r="AJ132" s="681" t="n"/>
      <c r="AK132" s="681" t="n"/>
      <c r="AL132" s="681" t="n"/>
      <c r="AM132" s="681" t="n"/>
      <c r="AN132" s="681" t="n"/>
      <c r="AO132" s="681" t="n"/>
    </row>
    <row r="133" ht="14" customHeight="1" s="549">
      <c r="A133" s="686" t="n"/>
      <c r="B133" s="686" t="inlineStr">
        <is>
          <t xml:space="preserve">Factura o Boleta </t>
        </is>
      </c>
      <c r="C133" s="788" t="inlineStr">
        <is>
          <t>9.5</t>
        </is>
      </c>
      <c r="D133" s="789" t="inlineStr">
        <is>
          <t>Combustible arriendo mensual</t>
        </is>
      </c>
      <c r="E133" s="790">
        <f>+E61</f>
        <v/>
      </c>
      <c r="F133" s="789" t="n"/>
      <c r="G133" s="686" t="n"/>
      <c r="H133" s="800">
        <f>+'Flujo Neto'!H132</f>
        <v/>
      </c>
      <c r="I133" s="800">
        <f>+'Flujo Neto'!I132</f>
        <v/>
      </c>
      <c r="J133" s="800">
        <f>+'Flujo Neto'!J132</f>
        <v/>
      </c>
      <c r="K133" s="800">
        <f>+'Flujo Neto'!K132</f>
        <v/>
      </c>
      <c r="L133" s="800">
        <f>+'Flujo Neto'!L132</f>
        <v/>
      </c>
      <c r="M133" s="800">
        <f>+'Flujo Neto'!M132</f>
        <v/>
      </c>
      <c r="N133" s="800">
        <f>+'Flujo Neto'!N132</f>
        <v/>
      </c>
      <c r="O133" s="800">
        <f>+'Flujo Neto'!O132</f>
        <v/>
      </c>
      <c r="P133" s="800">
        <f>+'Flujo Neto'!P132</f>
        <v/>
      </c>
      <c r="Q133" s="800">
        <f>+'Flujo Neto'!Q132</f>
        <v/>
      </c>
      <c r="R133" s="800">
        <f>+'Flujo Neto'!R132</f>
        <v/>
      </c>
      <c r="S133" s="800">
        <f>+'Flujo Neto'!S132</f>
        <v/>
      </c>
      <c r="T133" s="800">
        <f>+'Flujo Neto'!T132</f>
        <v/>
      </c>
      <c r="U133" s="800" t="n"/>
      <c r="V133" s="800">
        <f>+'Flujo Neto'!V132</f>
        <v/>
      </c>
      <c r="W133" s="800">
        <f>+'Flujo Neto'!W132</f>
        <v/>
      </c>
      <c r="X133" s="800">
        <f>+'Flujo Neto'!X132</f>
        <v/>
      </c>
      <c r="Y133" s="800">
        <f>+'Flujo Neto'!Y132</f>
        <v/>
      </c>
      <c r="Z133" s="800">
        <f>+'Flujo Neto'!Z132</f>
        <v/>
      </c>
      <c r="AA133" s="800">
        <f>+'Flujo Neto'!AA132</f>
        <v/>
      </c>
      <c r="AB133" s="800">
        <f>+'Flujo Neto'!AB132</f>
        <v/>
      </c>
      <c r="AC133" s="800">
        <f>+'Flujo Neto'!AC132</f>
        <v/>
      </c>
      <c r="AD133" s="800">
        <f>+'Flujo Neto'!AD132</f>
        <v/>
      </c>
      <c r="AE133" s="800">
        <f>+'Flujo Neto'!AE132</f>
        <v/>
      </c>
      <c r="AF133" s="800">
        <f>+'Flujo Neto'!AF132</f>
        <v/>
      </c>
      <c r="AG133" s="800">
        <f>+'Flujo Neto'!AG132</f>
        <v/>
      </c>
      <c r="AH133" s="800">
        <f>+'Flujo Neto'!AH132</f>
        <v/>
      </c>
      <c r="AI133" s="686" t="n"/>
      <c r="AJ133" s="686" t="n"/>
      <c r="AK133" s="686" t="n"/>
      <c r="AL133" s="686" t="n"/>
      <c r="AM133" s="686" t="n"/>
      <c r="AN133" s="686" t="n"/>
      <c r="AO133" s="686" t="n"/>
    </row>
    <row r="134" ht="14" customHeight="1" s="549">
      <c r="A134" s="681" t="n"/>
      <c r="B134" s="681" t="inlineStr">
        <is>
          <t xml:space="preserve">Boleta </t>
        </is>
      </c>
      <c r="C134" s="783" t="inlineStr">
        <is>
          <t>9.6</t>
        </is>
      </c>
      <c r="D134" s="784" t="inlineStr">
        <is>
          <t>Peajes</t>
        </is>
      </c>
      <c r="E134" s="785">
        <f>+E62</f>
        <v/>
      </c>
      <c r="F134" s="784" t="n"/>
      <c r="G134" s="681" t="n"/>
      <c r="H134" s="799">
        <f>+'Flujo Neto'!H133</f>
        <v/>
      </c>
      <c r="I134" s="799">
        <f>+'Flujo Neto'!I133</f>
        <v/>
      </c>
      <c r="J134" s="799">
        <f>+'Flujo Neto'!J133</f>
        <v/>
      </c>
      <c r="K134" s="799">
        <f>+'Flujo Neto'!K133</f>
        <v/>
      </c>
      <c r="L134" s="799">
        <f>+'Flujo Neto'!L133</f>
        <v/>
      </c>
      <c r="M134" s="799">
        <f>+'Flujo Neto'!M133</f>
        <v/>
      </c>
      <c r="N134" s="799">
        <f>+'Flujo Neto'!N133</f>
        <v/>
      </c>
      <c r="O134" s="799">
        <f>+'Flujo Neto'!O133</f>
        <v/>
      </c>
      <c r="P134" s="799">
        <f>+'Flujo Neto'!P133</f>
        <v/>
      </c>
      <c r="Q134" s="799">
        <f>+'Flujo Neto'!Q133</f>
        <v/>
      </c>
      <c r="R134" s="799">
        <f>+'Flujo Neto'!R133</f>
        <v/>
      </c>
      <c r="S134" s="799">
        <f>+'Flujo Neto'!S133</f>
        <v/>
      </c>
      <c r="T134" s="799">
        <f>+'Flujo Neto'!T133</f>
        <v/>
      </c>
      <c r="U134" s="799" t="n"/>
      <c r="V134" s="799">
        <f>+'Flujo Neto'!V133</f>
        <v/>
      </c>
      <c r="W134" s="799">
        <f>+'Flujo Neto'!W133</f>
        <v/>
      </c>
      <c r="X134" s="799">
        <f>+'Flujo Neto'!X133</f>
        <v/>
      </c>
      <c r="Y134" s="799">
        <f>+'Flujo Neto'!Y133</f>
        <v/>
      </c>
      <c r="Z134" s="799">
        <f>+'Flujo Neto'!Z133</f>
        <v/>
      </c>
      <c r="AA134" s="799">
        <f>+'Flujo Neto'!AA133</f>
        <v/>
      </c>
      <c r="AB134" s="799">
        <f>+'Flujo Neto'!AB133</f>
        <v/>
      </c>
      <c r="AC134" s="799">
        <f>+'Flujo Neto'!AC133</f>
        <v/>
      </c>
      <c r="AD134" s="799">
        <f>+'Flujo Neto'!AD133</f>
        <v/>
      </c>
      <c r="AE134" s="799">
        <f>+'Flujo Neto'!AE133</f>
        <v/>
      </c>
      <c r="AF134" s="799">
        <f>+'Flujo Neto'!AF133</f>
        <v/>
      </c>
      <c r="AG134" s="799">
        <f>+'Flujo Neto'!AG133</f>
        <v/>
      </c>
      <c r="AH134" s="799">
        <f>+'Flujo Neto'!AH133</f>
        <v/>
      </c>
      <c r="AI134" s="681" t="n"/>
      <c r="AJ134" s="681" t="n"/>
      <c r="AK134" s="681" t="n"/>
      <c r="AL134" s="681" t="n"/>
      <c r="AM134" s="681" t="n"/>
      <c r="AN134" s="681" t="n"/>
      <c r="AO134" s="681" t="n"/>
    </row>
    <row r="135" ht="14" customHeight="1" s="549">
      <c r="A135" s="686" t="n"/>
      <c r="B135" s="686" t="n"/>
      <c r="C135" s="771" t="inlineStr">
        <is>
          <t>10.</t>
        </is>
      </c>
      <c r="D135" s="682" t="inlineStr">
        <is>
          <t xml:space="preserve">Gastos Varios </t>
        </is>
      </c>
      <c r="E135" s="780">
        <f>+E63</f>
        <v/>
      </c>
      <c r="F135" s="682" t="n"/>
      <c r="G135" s="686" t="n"/>
      <c r="H135" s="800">
        <f>+'Flujo Neto'!H134</f>
        <v/>
      </c>
      <c r="I135" s="800">
        <f>+'Flujo Neto'!I134</f>
        <v/>
      </c>
      <c r="J135" s="800">
        <f>+'Flujo Neto'!J134</f>
        <v/>
      </c>
      <c r="K135" s="800">
        <f>+'Flujo Neto'!K134</f>
        <v/>
      </c>
      <c r="L135" s="800">
        <f>+'Flujo Neto'!L134</f>
        <v/>
      </c>
      <c r="M135" s="800">
        <f>+'Flujo Neto'!M134</f>
        <v/>
      </c>
      <c r="N135" s="800">
        <f>+'Flujo Neto'!N134</f>
        <v/>
      </c>
      <c r="O135" s="800">
        <f>+'Flujo Neto'!O134</f>
        <v/>
      </c>
      <c r="P135" s="800">
        <f>+'Flujo Neto'!P134</f>
        <v/>
      </c>
      <c r="Q135" s="800">
        <f>+'Flujo Neto'!Q134</f>
        <v/>
      </c>
      <c r="R135" s="800">
        <f>+'Flujo Neto'!R134</f>
        <v/>
      </c>
      <c r="S135" s="800">
        <f>+'Flujo Neto'!S134</f>
        <v/>
      </c>
      <c r="T135" s="800">
        <f>+'Flujo Neto'!T134</f>
        <v/>
      </c>
      <c r="U135" s="800" t="n"/>
      <c r="V135" s="800">
        <f>+'Flujo Neto'!V134</f>
        <v/>
      </c>
      <c r="W135" s="800">
        <f>+'Flujo Neto'!W134</f>
        <v/>
      </c>
      <c r="X135" s="800">
        <f>+'Flujo Neto'!X134</f>
        <v/>
      </c>
      <c r="Y135" s="800">
        <f>+'Flujo Neto'!Y134</f>
        <v/>
      </c>
      <c r="Z135" s="800">
        <f>+'Flujo Neto'!Z134</f>
        <v/>
      </c>
      <c r="AA135" s="800">
        <f>+'Flujo Neto'!AA134</f>
        <v/>
      </c>
      <c r="AB135" s="800">
        <f>+'Flujo Neto'!AB134</f>
        <v/>
      </c>
      <c r="AC135" s="800">
        <f>+'Flujo Neto'!AC134</f>
        <v/>
      </c>
      <c r="AD135" s="800">
        <f>+'Flujo Neto'!AD134</f>
        <v/>
      </c>
      <c r="AE135" s="800">
        <f>+'Flujo Neto'!AE134</f>
        <v/>
      </c>
      <c r="AF135" s="800">
        <f>+'Flujo Neto'!AF134</f>
        <v/>
      </c>
      <c r="AG135" s="800">
        <f>+'Flujo Neto'!AG134</f>
        <v/>
      </c>
      <c r="AH135" s="800">
        <f>+'Flujo Neto'!AH134</f>
        <v/>
      </c>
      <c r="AI135" s="686" t="n"/>
      <c r="AJ135" s="686" t="n"/>
      <c r="AK135" s="686" t="n"/>
      <c r="AL135" s="686" t="n"/>
      <c r="AM135" s="686" t="n"/>
      <c r="AN135" s="686" t="n"/>
      <c r="AO135" s="686" t="n"/>
    </row>
    <row r="136" ht="14" customHeight="1" s="549">
      <c r="A136" s="681" t="n"/>
      <c r="B136" s="681" t="inlineStr">
        <is>
          <t xml:space="preserve">Boleta </t>
        </is>
      </c>
      <c r="C136" s="783" t="inlineStr">
        <is>
          <t>10.1</t>
        </is>
      </c>
      <c r="D136" s="784" t="inlineStr">
        <is>
          <t xml:space="preserve">Compras de Equipos, EEPP, Otros </t>
        </is>
      </c>
      <c r="E136" s="785">
        <f>+E64</f>
        <v/>
      </c>
      <c r="F136" s="784" t="n"/>
      <c r="G136" s="681" t="n"/>
      <c r="H136" s="799">
        <f>+'Flujo Neto'!H135</f>
        <v/>
      </c>
      <c r="I136" s="799">
        <f>+'Flujo Neto'!I135</f>
        <v/>
      </c>
      <c r="J136" s="799">
        <f>+'Flujo Neto'!J135</f>
        <v/>
      </c>
      <c r="K136" s="799">
        <f>+'Flujo Neto'!K135</f>
        <v/>
      </c>
      <c r="L136" s="799">
        <f>+'Flujo Neto'!L135</f>
        <v/>
      </c>
      <c r="M136" s="799">
        <f>+'Flujo Neto'!M135</f>
        <v/>
      </c>
      <c r="N136" s="799">
        <f>+'Flujo Neto'!N135</f>
        <v/>
      </c>
      <c r="O136" s="799">
        <f>+'Flujo Neto'!O135</f>
        <v/>
      </c>
      <c r="P136" s="799">
        <f>+'Flujo Neto'!P135</f>
        <v/>
      </c>
      <c r="Q136" s="799">
        <f>+'Flujo Neto'!Q135</f>
        <v/>
      </c>
      <c r="R136" s="799">
        <f>+'Flujo Neto'!R135</f>
        <v/>
      </c>
      <c r="S136" s="799">
        <f>+'Flujo Neto'!S135</f>
        <v/>
      </c>
      <c r="T136" s="799">
        <f>+'Flujo Neto'!T135</f>
        <v/>
      </c>
      <c r="U136" s="799" t="n"/>
      <c r="V136" s="799">
        <f>+'Flujo Neto'!V135</f>
        <v/>
      </c>
      <c r="W136" s="799">
        <f>+'Flujo Neto'!W135</f>
        <v/>
      </c>
      <c r="X136" s="799">
        <f>+'Flujo Neto'!X135</f>
        <v/>
      </c>
      <c r="Y136" s="799">
        <f>+'Flujo Neto'!Y135</f>
        <v/>
      </c>
      <c r="Z136" s="799">
        <f>+'Flujo Neto'!Z135</f>
        <v/>
      </c>
      <c r="AA136" s="799">
        <f>+'Flujo Neto'!AA135</f>
        <v/>
      </c>
      <c r="AB136" s="799">
        <f>+'Flujo Neto'!AB135</f>
        <v/>
      </c>
      <c r="AC136" s="799">
        <f>+'Flujo Neto'!AC135</f>
        <v/>
      </c>
      <c r="AD136" s="799">
        <f>+'Flujo Neto'!AD135</f>
        <v/>
      </c>
      <c r="AE136" s="799">
        <f>+'Flujo Neto'!AE135</f>
        <v/>
      </c>
      <c r="AF136" s="799">
        <f>+'Flujo Neto'!AF135</f>
        <v/>
      </c>
      <c r="AG136" s="799">
        <f>+'Flujo Neto'!AG135</f>
        <v/>
      </c>
      <c r="AH136" s="799">
        <f>+'Flujo Neto'!AH135</f>
        <v/>
      </c>
      <c r="AI136" s="681" t="n"/>
      <c r="AJ136" s="681" t="n"/>
      <c r="AK136" s="681" t="n"/>
      <c r="AL136" s="681" t="n"/>
      <c r="AM136" s="681" t="n"/>
      <c r="AN136" s="681" t="n"/>
      <c r="AO136" s="681" t="n"/>
    </row>
    <row r="137" ht="14" customHeight="1" s="549">
      <c r="A137" s="686" t="n"/>
      <c r="B137" s="686" t="inlineStr">
        <is>
          <t xml:space="preserve">Boleta </t>
        </is>
      </c>
      <c r="C137" s="788" t="inlineStr">
        <is>
          <t>10.2</t>
        </is>
      </c>
      <c r="D137" s="789" t="inlineStr">
        <is>
          <t>Mensajerias (Correo de Chile)</t>
        </is>
      </c>
      <c r="E137" s="790">
        <f>+E65</f>
        <v/>
      </c>
      <c r="F137" s="789" t="n"/>
      <c r="G137" s="686" t="n"/>
      <c r="H137" s="800">
        <f>+'Flujo Neto'!H136</f>
        <v/>
      </c>
      <c r="I137" s="800">
        <f>+'Flujo Neto'!I136</f>
        <v/>
      </c>
      <c r="J137" s="800">
        <f>+'Flujo Neto'!J136</f>
        <v/>
      </c>
      <c r="K137" s="800">
        <f>+'Flujo Neto'!K136</f>
        <v/>
      </c>
      <c r="L137" s="800">
        <f>+'Flujo Neto'!L136</f>
        <v/>
      </c>
      <c r="M137" s="800">
        <f>+'Flujo Neto'!M136</f>
        <v/>
      </c>
      <c r="N137" s="800">
        <f>+'Flujo Neto'!N136</f>
        <v/>
      </c>
      <c r="O137" s="800">
        <f>+'Flujo Neto'!O136</f>
        <v/>
      </c>
      <c r="P137" s="800">
        <f>+'Flujo Neto'!P136</f>
        <v/>
      </c>
      <c r="Q137" s="800">
        <f>+'Flujo Neto'!Q136</f>
        <v/>
      </c>
      <c r="R137" s="800">
        <f>+'Flujo Neto'!R136</f>
        <v/>
      </c>
      <c r="S137" s="800">
        <f>+'Flujo Neto'!S136</f>
        <v/>
      </c>
      <c r="T137" s="800">
        <f>+'Flujo Neto'!T136</f>
        <v/>
      </c>
      <c r="U137" s="800" t="n"/>
      <c r="V137" s="800">
        <f>+'Flujo Neto'!V136</f>
        <v/>
      </c>
      <c r="W137" s="800">
        <f>+'Flujo Neto'!W136</f>
        <v/>
      </c>
      <c r="X137" s="800">
        <f>+'Flujo Neto'!X136</f>
        <v/>
      </c>
      <c r="Y137" s="800">
        <f>+'Flujo Neto'!Y136</f>
        <v/>
      </c>
      <c r="Z137" s="800">
        <f>+'Flujo Neto'!Z136</f>
        <v/>
      </c>
      <c r="AA137" s="800">
        <f>+'Flujo Neto'!AA136</f>
        <v/>
      </c>
      <c r="AB137" s="800">
        <f>+'Flujo Neto'!AB136</f>
        <v/>
      </c>
      <c r="AC137" s="800">
        <f>+'Flujo Neto'!AC136</f>
        <v/>
      </c>
      <c r="AD137" s="800">
        <f>+'Flujo Neto'!AD136</f>
        <v/>
      </c>
      <c r="AE137" s="800">
        <f>+'Flujo Neto'!AE136</f>
        <v/>
      </c>
      <c r="AF137" s="800">
        <f>+'Flujo Neto'!AF136</f>
        <v/>
      </c>
      <c r="AG137" s="800">
        <f>+'Flujo Neto'!AG136</f>
        <v/>
      </c>
      <c r="AH137" s="800">
        <f>+'Flujo Neto'!AH136</f>
        <v/>
      </c>
      <c r="AI137" s="686" t="n"/>
      <c r="AJ137" s="686" t="n"/>
      <c r="AK137" s="686" t="n"/>
      <c r="AL137" s="686" t="n"/>
      <c r="AM137" s="686" t="n"/>
      <c r="AN137" s="686" t="n"/>
      <c r="AO137" s="686" t="n"/>
    </row>
    <row r="138" ht="14" customHeight="1" s="549">
      <c r="A138" s="681" t="n"/>
      <c r="B138" s="681" t="inlineStr">
        <is>
          <t xml:space="preserve">Factura + Boleta </t>
        </is>
      </c>
      <c r="C138" s="783" t="inlineStr">
        <is>
          <t>10.3</t>
        </is>
      </c>
      <c r="D138" s="784" t="inlineStr">
        <is>
          <t>Impresión de manuales</t>
        </is>
      </c>
      <c r="E138" s="785">
        <f>+E66</f>
        <v/>
      </c>
      <c r="F138" s="784" t="n">
        <v>60</v>
      </c>
      <c r="G138" s="681" t="n"/>
      <c r="H138" s="799">
        <f>+'Flujo Neto'!H137</f>
        <v/>
      </c>
      <c r="I138" s="799">
        <f>+'Flujo Neto'!I137</f>
        <v/>
      </c>
      <c r="J138" s="799">
        <f>+'Flujo Neto'!J137</f>
        <v/>
      </c>
      <c r="K138" s="799">
        <f>+'Flujo Neto'!K137</f>
        <v/>
      </c>
      <c r="L138" s="799">
        <f>+'Flujo Neto'!L137</f>
        <v/>
      </c>
      <c r="M138" s="799">
        <f>+'Flujo Neto'!M137</f>
        <v/>
      </c>
      <c r="N138" s="799">
        <f>+'Flujo Neto'!N137</f>
        <v/>
      </c>
      <c r="O138" s="799">
        <f>+'Flujo Neto'!O137</f>
        <v/>
      </c>
      <c r="P138" s="799">
        <f>+'Flujo Neto'!P137</f>
        <v/>
      </c>
      <c r="Q138" s="799">
        <f>+'Flujo Neto'!Q137</f>
        <v/>
      </c>
      <c r="R138" s="799">
        <f>+'Flujo Neto'!R137</f>
        <v/>
      </c>
      <c r="S138" s="799">
        <f>+'Flujo Neto'!S137</f>
        <v/>
      </c>
      <c r="T138" s="799">
        <f>+'Flujo Neto'!T137</f>
        <v/>
      </c>
      <c r="U138" s="799" t="n"/>
      <c r="V138" s="799">
        <f>+'Flujo Neto'!V137</f>
        <v/>
      </c>
      <c r="W138" s="799">
        <f>+'Flujo Neto'!W137</f>
        <v/>
      </c>
      <c r="X138" s="799">
        <f>+'Flujo Neto'!X137</f>
        <v/>
      </c>
      <c r="Y138" s="799">
        <f>+'Flujo Neto'!Y137</f>
        <v/>
      </c>
      <c r="Z138" s="799">
        <f>+'Flujo Neto'!Z137</f>
        <v/>
      </c>
      <c r="AA138" s="799">
        <f>+'Flujo Neto'!AA137</f>
        <v/>
      </c>
      <c r="AB138" s="799">
        <f>+'Flujo Neto'!AB137</f>
        <v/>
      </c>
      <c r="AC138" s="799">
        <f>+'Flujo Neto'!AC137</f>
        <v/>
      </c>
      <c r="AD138" s="799">
        <f>+'Flujo Neto'!AD137</f>
        <v/>
      </c>
      <c r="AE138" s="799">
        <f>+'Flujo Neto'!AE137</f>
        <v/>
      </c>
      <c r="AF138" s="799">
        <f>+'Flujo Neto'!AF137</f>
        <v/>
      </c>
      <c r="AG138" s="799">
        <f>+'Flujo Neto'!AG137</f>
        <v/>
      </c>
      <c r="AH138" s="799">
        <f>+'Flujo Neto'!AH137</f>
        <v/>
      </c>
      <c r="AI138" s="681" t="n"/>
      <c r="AJ138" s="681" t="n"/>
      <c r="AK138" s="681" t="n"/>
      <c r="AL138" s="681" t="n"/>
      <c r="AM138" s="681" t="n"/>
      <c r="AN138" s="681" t="n"/>
      <c r="AO138" s="681" t="n"/>
    </row>
    <row r="139" ht="14" customHeight="1" s="549">
      <c r="A139" s="686" t="n"/>
      <c r="B139" s="686" t="inlineStr">
        <is>
          <t xml:space="preserve">Factura + Boleta </t>
        </is>
      </c>
      <c r="C139" s="788" t="inlineStr">
        <is>
          <t>10.4</t>
        </is>
      </c>
      <c r="D139" s="789" t="inlineStr">
        <is>
          <t>Mantención y reparación de Vehículos</t>
        </is>
      </c>
      <c r="E139" s="790">
        <f>+E67</f>
        <v/>
      </c>
      <c r="F139" s="789" t="n"/>
      <c r="G139" s="686" t="n"/>
      <c r="H139" s="800">
        <f>+'Flujo Neto'!H138</f>
        <v/>
      </c>
      <c r="I139" s="800">
        <f>+'Flujo Neto'!I138</f>
        <v/>
      </c>
      <c r="J139" s="800">
        <f>+'Flujo Neto'!J138</f>
        <v/>
      </c>
      <c r="K139" s="800">
        <f>+'Flujo Neto'!K138</f>
        <v/>
      </c>
      <c r="L139" s="800">
        <f>+'Flujo Neto'!L138</f>
        <v/>
      </c>
      <c r="M139" s="800">
        <f>+'Flujo Neto'!M138</f>
        <v/>
      </c>
      <c r="N139" s="800">
        <f>+'Flujo Neto'!N138</f>
        <v/>
      </c>
      <c r="O139" s="800">
        <f>+'Flujo Neto'!O138</f>
        <v/>
      </c>
      <c r="P139" s="800">
        <f>+'Flujo Neto'!P138</f>
        <v/>
      </c>
      <c r="Q139" s="800">
        <f>+'Flujo Neto'!Q138</f>
        <v/>
      </c>
      <c r="R139" s="800">
        <f>+'Flujo Neto'!R138</f>
        <v/>
      </c>
      <c r="S139" s="800">
        <f>+'Flujo Neto'!S138</f>
        <v/>
      </c>
      <c r="T139" s="800">
        <f>+'Flujo Neto'!T138</f>
        <v/>
      </c>
      <c r="U139" s="800" t="n"/>
      <c r="V139" s="800">
        <f>+'Flujo Neto'!V138</f>
        <v/>
      </c>
      <c r="W139" s="800">
        <f>+'Flujo Neto'!W138</f>
        <v/>
      </c>
      <c r="X139" s="800">
        <f>+'Flujo Neto'!X138</f>
        <v/>
      </c>
      <c r="Y139" s="800">
        <f>+'Flujo Neto'!Y138</f>
        <v/>
      </c>
      <c r="Z139" s="800">
        <f>+'Flujo Neto'!Z138</f>
        <v/>
      </c>
      <c r="AA139" s="800">
        <f>+'Flujo Neto'!AA138</f>
        <v/>
      </c>
      <c r="AB139" s="800">
        <f>+'Flujo Neto'!AB138</f>
        <v/>
      </c>
      <c r="AC139" s="800">
        <f>+'Flujo Neto'!AC138</f>
        <v/>
      </c>
      <c r="AD139" s="800">
        <f>+'Flujo Neto'!AD138</f>
        <v/>
      </c>
      <c r="AE139" s="800">
        <f>+'Flujo Neto'!AE138</f>
        <v/>
      </c>
      <c r="AF139" s="800">
        <f>+'Flujo Neto'!AF138</f>
        <v/>
      </c>
      <c r="AG139" s="800">
        <f>+'Flujo Neto'!AG138</f>
        <v/>
      </c>
      <c r="AH139" s="800">
        <f>+'Flujo Neto'!AH138</f>
        <v/>
      </c>
      <c r="AI139" s="686" t="n"/>
      <c r="AJ139" s="686" t="n"/>
      <c r="AK139" s="686" t="n"/>
      <c r="AL139" s="686" t="n"/>
      <c r="AM139" s="686" t="n"/>
      <c r="AN139" s="686" t="n"/>
      <c r="AO139" s="686" t="n"/>
    </row>
    <row r="140" ht="14" customHeight="1" s="549">
      <c r="A140" s="681" t="n"/>
      <c r="B140" s="681" t="inlineStr">
        <is>
          <t xml:space="preserve">Boleta </t>
        </is>
      </c>
      <c r="C140" s="783" t="inlineStr">
        <is>
          <t>10.5</t>
        </is>
      </c>
      <c r="D140" s="784" t="inlineStr">
        <is>
          <t xml:space="preserve">Otros varios </t>
        </is>
      </c>
      <c r="E140" s="785">
        <f>+E68</f>
        <v/>
      </c>
      <c r="F140" s="784" t="n"/>
      <c r="G140" s="681" t="n"/>
      <c r="H140" s="799">
        <f>+'Flujo Neto'!H139</f>
        <v/>
      </c>
      <c r="I140" s="799">
        <f>+'Flujo Neto'!I139</f>
        <v/>
      </c>
      <c r="J140" s="799">
        <f>+'Flujo Neto'!J139</f>
        <v/>
      </c>
      <c r="K140" s="799">
        <f>+'Flujo Neto'!K139</f>
        <v/>
      </c>
      <c r="L140" s="799">
        <f>+'Flujo Neto'!L139</f>
        <v/>
      </c>
      <c r="M140" s="799">
        <f>+'Flujo Neto'!M139</f>
        <v/>
      </c>
      <c r="N140" s="799">
        <f>+'Flujo Neto'!N139</f>
        <v/>
      </c>
      <c r="O140" s="799">
        <f>+'Flujo Neto'!O139</f>
        <v/>
      </c>
      <c r="P140" s="799">
        <f>+'Flujo Neto'!P139</f>
        <v/>
      </c>
      <c r="Q140" s="799">
        <f>+'Flujo Neto'!Q139</f>
        <v/>
      </c>
      <c r="R140" s="799">
        <f>+'Flujo Neto'!R139</f>
        <v/>
      </c>
      <c r="S140" s="799">
        <f>+'Flujo Neto'!S139</f>
        <v/>
      </c>
      <c r="T140" s="799">
        <f>+'Flujo Neto'!T139</f>
        <v/>
      </c>
      <c r="U140" s="799" t="n"/>
      <c r="V140" s="799">
        <f>+'Flujo Neto'!V139</f>
        <v/>
      </c>
      <c r="W140" s="799">
        <f>+'Flujo Neto'!W139</f>
        <v/>
      </c>
      <c r="X140" s="799">
        <f>+'Flujo Neto'!X139</f>
        <v/>
      </c>
      <c r="Y140" s="799">
        <f>+'Flujo Neto'!Y139</f>
        <v/>
      </c>
      <c r="Z140" s="799">
        <f>+'Flujo Neto'!Z139</f>
        <v/>
      </c>
      <c r="AA140" s="799">
        <f>+'Flujo Neto'!AA139</f>
        <v/>
      </c>
      <c r="AB140" s="799">
        <f>+'Flujo Neto'!AB139</f>
        <v/>
      </c>
      <c r="AC140" s="799">
        <f>+'Flujo Neto'!AC139</f>
        <v/>
      </c>
      <c r="AD140" s="799">
        <f>+'Flujo Neto'!AD139</f>
        <v/>
      </c>
      <c r="AE140" s="799">
        <f>+'Flujo Neto'!AE139</f>
        <v/>
      </c>
      <c r="AF140" s="799">
        <f>+'Flujo Neto'!AF139</f>
        <v/>
      </c>
      <c r="AG140" s="799">
        <f>+'Flujo Neto'!AG139</f>
        <v/>
      </c>
      <c r="AH140" s="799">
        <f>+'Flujo Neto'!AH139</f>
        <v/>
      </c>
      <c r="AI140" s="681" t="n"/>
      <c r="AJ140" s="681" t="n"/>
      <c r="AK140" s="681" t="n"/>
      <c r="AL140" s="681" t="n"/>
      <c r="AM140" s="681" t="n"/>
      <c r="AN140" s="681" t="n"/>
      <c r="AO140" s="681" t="n"/>
    </row>
    <row r="141">
      <c r="AH141" s="463" t="n"/>
    </row>
    <row r="142">
      <c r="AH142" s="463" t="n"/>
    </row>
    <row r="143">
      <c r="AH143" s="463" t="n"/>
    </row>
    <row r="144" ht="11.25" customHeight="1" s="549">
      <c r="AH144" s="463" t="n"/>
    </row>
    <row r="145" ht="14" customHeight="1" s="549">
      <c r="A145" s="686" t="n"/>
      <c r="B145" s="686" t="n"/>
      <c r="C145" s="686" t="n"/>
      <c r="D145" s="686" t="inlineStr">
        <is>
          <t>Factura</t>
        </is>
      </c>
      <c r="E145" s="686" t="n"/>
      <c r="F145" s="686" t="n"/>
      <c r="G145" s="686" t="n"/>
      <c r="H145" s="686" t="n"/>
      <c r="I145" s="686" t="n"/>
      <c r="J145" s="686" t="n"/>
      <c r="K145" s="686" t="n"/>
      <c r="L145" s="686" t="n"/>
      <c r="M145" s="686" t="n"/>
      <c r="N145" s="686" t="n"/>
      <c r="O145" s="686" t="n"/>
      <c r="P145" s="686" t="n"/>
      <c r="Q145" s="686" t="n"/>
      <c r="R145" s="686" t="n"/>
      <c r="S145" s="686" t="n"/>
      <c r="T145" s="686" t="n"/>
      <c r="U145" s="686" t="n"/>
      <c r="V145" s="686" t="n"/>
      <c r="W145" s="686" t="n"/>
      <c r="X145" s="686" t="n"/>
      <c r="Y145" s="686" t="n"/>
      <c r="Z145" s="686" t="n"/>
      <c r="AA145" s="686" t="n"/>
      <c r="AB145" s="686" t="n"/>
      <c r="AC145" s="686" t="n"/>
      <c r="AD145" s="686" t="n"/>
      <c r="AE145" s="686" t="n"/>
      <c r="AF145" s="686" t="n"/>
      <c r="AG145" s="686" t="n"/>
      <c r="AH145" s="686" t="n"/>
      <c r="AI145" s="686" t="n"/>
      <c r="AJ145" s="686" t="n"/>
      <c r="AK145" s="686" t="n"/>
      <c r="AL145" s="686" t="n"/>
      <c r="AM145" s="686" t="n"/>
      <c r="AN145" s="686" t="n"/>
      <c r="AO145" s="686" t="n"/>
    </row>
    <row r="146" ht="14" customHeight="1" s="549">
      <c r="A146" s="681" t="n"/>
      <c r="B146" s="681" t="n"/>
      <c r="C146" s="681" t="n"/>
      <c r="D146" s="681" t="inlineStr">
        <is>
          <t xml:space="preserve">Boleta </t>
        </is>
      </c>
      <c r="E146" s="681" t="n"/>
      <c r="F146" s="681" t="n"/>
      <c r="G146" s="681" t="n"/>
      <c r="H146" s="681" t="n"/>
      <c r="I146" s="681" t="n"/>
      <c r="J146" s="681" t="n"/>
      <c r="K146" s="681" t="n"/>
      <c r="L146" s="681" t="n"/>
      <c r="M146" s="681" t="n"/>
      <c r="N146" s="681" t="n"/>
      <c r="O146" s="681" t="n"/>
      <c r="P146" s="681" t="n"/>
      <c r="Q146" s="681" t="n"/>
      <c r="R146" s="681" t="n"/>
      <c r="S146" s="681" t="n"/>
      <c r="T146" s="681" t="n"/>
      <c r="U146" s="681" t="n"/>
      <c r="V146" s="681" t="n"/>
      <c r="W146" s="681" t="n"/>
      <c r="X146" s="681" t="n"/>
      <c r="Y146" s="681" t="n"/>
      <c r="Z146" s="681" t="n"/>
      <c r="AA146" s="681" t="n"/>
      <c r="AB146" s="681" t="n"/>
      <c r="AC146" s="681" t="n"/>
      <c r="AD146" s="681" t="n"/>
      <c r="AE146" s="681" t="n"/>
      <c r="AF146" s="681" t="n"/>
      <c r="AG146" s="681" t="n"/>
      <c r="AH146" s="681" t="n"/>
      <c r="AI146" s="681" t="n"/>
      <c r="AJ146" s="681" t="n"/>
      <c r="AK146" s="681" t="n"/>
      <c r="AL146" s="681" t="n"/>
      <c r="AM146" s="681" t="n"/>
      <c r="AN146" s="681" t="n"/>
      <c r="AO146" s="681" t="n"/>
    </row>
    <row r="147" ht="14" customHeight="1" s="549">
      <c r="A147" s="686" t="n"/>
      <c r="B147" s="686" t="n"/>
      <c r="C147" s="686" t="n"/>
      <c r="D147" s="686" t="inlineStr">
        <is>
          <t>B. Honorarios</t>
        </is>
      </c>
      <c r="E147" s="686" t="n"/>
      <c r="F147" s="686" t="n"/>
      <c r="G147" s="686" t="n"/>
      <c r="H147" s="686" t="n"/>
      <c r="I147" s="686" t="n"/>
      <c r="J147" s="686" t="n"/>
      <c r="K147" s="686" t="n"/>
      <c r="L147" s="686" t="n"/>
      <c r="M147" s="686" t="n"/>
      <c r="N147" s="686" t="n"/>
      <c r="O147" s="686" t="n"/>
      <c r="P147" s="686" t="n"/>
      <c r="Q147" s="686" t="n"/>
      <c r="R147" s="686" t="n"/>
      <c r="S147" s="686" t="n"/>
      <c r="T147" s="686" t="n"/>
      <c r="U147" s="686" t="n"/>
      <c r="V147" s="686" t="n"/>
      <c r="W147" s="686" t="n"/>
      <c r="X147" s="686" t="n"/>
      <c r="Y147" s="686" t="n"/>
      <c r="Z147" s="686" t="n"/>
      <c r="AA147" s="686" t="n"/>
      <c r="AB147" s="686" t="n"/>
      <c r="AC147" s="686" t="n"/>
      <c r="AD147" s="686" t="n"/>
      <c r="AE147" s="686" t="n"/>
      <c r="AF147" s="686" t="n"/>
      <c r="AG147" s="686" t="n"/>
      <c r="AH147" s="686" t="n"/>
      <c r="AI147" s="686" t="n"/>
      <c r="AJ147" s="686" t="n"/>
      <c r="AK147" s="686" t="n"/>
      <c r="AL147" s="686" t="n"/>
      <c r="AM147" s="686" t="n"/>
      <c r="AN147" s="686" t="n"/>
      <c r="AO147" s="686" t="n"/>
    </row>
    <row r="148" ht="14" customHeight="1" s="549">
      <c r="A148" s="681" t="n"/>
      <c r="B148" s="681" t="n"/>
      <c r="C148" s="681" t="n"/>
      <c r="D148" s="681" t="inlineStr">
        <is>
          <t xml:space="preserve">Factura o Boleta </t>
        </is>
      </c>
      <c r="E148" s="681" t="n"/>
      <c r="F148" s="681" t="n"/>
      <c r="G148" s="681" t="n"/>
      <c r="H148" s="681" t="n"/>
      <c r="I148" s="681" t="n"/>
      <c r="J148" s="681" t="n"/>
      <c r="K148" s="681" t="n"/>
      <c r="L148" s="681" t="n"/>
      <c r="M148" s="681" t="n"/>
      <c r="N148" s="681" t="n"/>
      <c r="O148" s="681" t="n"/>
      <c r="P148" s="681" t="n"/>
      <c r="Q148" s="681" t="n"/>
      <c r="R148" s="681" t="n"/>
      <c r="S148" s="681" t="n"/>
      <c r="T148" s="681" t="n"/>
      <c r="U148" s="681" t="n"/>
      <c r="V148" s="681" t="n"/>
      <c r="W148" s="681" t="n"/>
      <c r="X148" s="681" t="n"/>
      <c r="Y148" s="681" t="n"/>
      <c r="Z148" s="681" t="n"/>
      <c r="AA148" s="681" t="n"/>
      <c r="AB148" s="681" t="n"/>
      <c r="AC148" s="681" t="n"/>
      <c r="AD148" s="681" t="n"/>
      <c r="AE148" s="681" t="n"/>
      <c r="AF148" s="681" t="n"/>
      <c r="AG148" s="681" t="n"/>
      <c r="AH148" s="681" t="n"/>
      <c r="AI148" s="681" t="n"/>
      <c r="AJ148" s="681" t="n"/>
      <c r="AK148" s="681" t="n"/>
      <c r="AL148" s="681" t="n"/>
      <c r="AM148" s="681" t="n"/>
      <c r="AN148" s="681" t="n"/>
      <c r="AO148" s="681" t="n"/>
    </row>
    <row r="149" ht="14" customHeight="1" s="549">
      <c r="A149" s="686" t="n"/>
      <c r="B149" s="686" t="n"/>
      <c r="C149" s="686" t="n"/>
      <c r="D149" s="686" t="inlineStr">
        <is>
          <t>Costo Empresa</t>
        </is>
      </c>
      <c r="E149" s="686" t="n"/>
      <c r="F149" s="686" t="n"/>
      <c r="G149" s="686" t="n"/>
      <c r="H149" s="686" t="n"/>
      <c r="I149" s="686" t="n"/>
      <c r="J149" s="686" t="n"/>
      <c r="K149" s="686" t="n"/>
      <c r="L149" s="686" t="n"/>
      <c r="M149" s="686" t="n"/>
      <c r="N149" s="686" t="n"/>
      <c r="O149" s="686" t="n"/>
      <c r="P149" s="686" t="n"/>
      <c r="Q149" s="686" t="n"/>
      <c r="R149" s="686" t="n"/>
      <c r="S149" s="686" t="n"/>
      <c r="T149" s="686" t="n"/>
      <c r="U149" s="686" t="n"/>
      <c r="V149" s="686" t="n"/>
      <c r="W149" s="686" t="n"/>
      <c r="X149" s="686" t="n"/>
      <c r="Y149" s="686" t="n"/>
      <c r="Z149" s="686" t="n"/>
      <c r="AA149" s="686" t="n"/>
      <c r="AB149" s="686" t="n"/>
      <c r="AC149" s="686" t="n"/>
      <c r="AD149" s="686" t="n"/>
      <c r="AE149" s="686" t="n"/>
      <c r="AF149" s="686" t="n"/>
      <c r="AG149" s="686" t="n"/>
      <c r="AH149" s="686" t="n"/>
      <c r="AI149" s="686" t="n"/>
      <c r="AJ149" s="686" t="n"/>
      <c r="AK149" s="686" t="n"/>
      <c r="AL149" s="686" t="n"/>
      <c r="AM149" s="686" t="n"/>
      <c r="AN149" s="686" t="n"/>
      <c r="AO149" s="686" t="n"/>
    </row>
  </sheetData>
  <mergeCells count="1">
    <mergeCell ref="A1:AO1"/>
  </mergeCells>
  <conditionalFormatting sqref="H6:S15 H17:S19 H24:S31 H42:S42 H44:S45 H48:S48 U11:AG15 U17:AG19 U24:AG31 U42:AG42 U44:AG45 U48:AG48">
    <cfRule type="cellIs" priority="23" operator="greaterThan" dxfId="0">
      <formula>0</formula>
    </cfRule>
  </conditionalFormatting>
  <conditionalFormatting sqref="H21:S22 U21:AG22">
    <cfRule type="cellIs" priority="22" operator="greaterThan" dxfId="0">
      <formula>0</formula>
    </cfRule>
  </conditionalFormatting>
  <conditionalFormatting sqref="H34:S35 U34:AG35">
    <cfRule type="cellIs" priority="21" operator="greaterThan" dxfId="0">
      <formula>0</formula>
    </cfRule>
  </conditionalFormatting>
  <conditionalFormatting sqref="H37:S40 U37:AG40">
    <cfRule type="cellIs" priority="20" operator="greaterThan" dxfId="0">
      <formula>0</formula>
    </cfRule>
  </conditionalFormatting>
  <conditionalFormatting sqref="H50:S53 H54:AH55 U50:AG53">
    <cfRule type="cellIs" priority="18" operator="greaterThan" dxfId="0">
      <formula>0</formula>
    </cfRule>
  </conditionalFormatting>
  <conditionalFormatting sqref="H57:S62 U57:AG62">
    <cfRule type="cellIs" priority="17" operator="greaterThan" dxfId="0">
      <formula>0</formula>
    </cfRule>
  </conditionalFormatting>
  <conditionalFormatting sqref="H64:S66 H67:AH67 H68:S68 U64:AG66 U68:AG68">
    <cfRule type="cellIs" priority="16" operator="greaterThan" dxfId="0">
      <formula>0</formula>
    </cfRule>
  </conditionalFormatting>
  <conditionalFormatting sqref="H76:AH113 H115:AH116 H119:AH139">
    <cfRule type="expression" priority="6" dxfId="4">
      <formula>H76&gt;0</formula>
    </cfRule>
  </conditionalFormatting>
  <conditionalFormatting sqref="T10:AH10 U6:AG9">
    <cfRule type="cellIs" priority="24" operator="greaterThan" dxfId="0">
      <formula>0</formula>
    </cfRule>
  </conditionalFormatting>
  <conditionalFormatting sqref="AJ10">
    <cfRule type="cellIs" priority="3" operator="greaterThan" dxfId="0">
      <formula>0</formula>
    </cfRule>
  </conditionalFormatting>
  <conditionalFormatting sqref="AJ54:AJ55">
    <cfRule type="cellIs" priority="2" operator="greaterThan" dxfId="0">
      <formula>0</formula>
    </cfRule>
  </conditionalFormatting>
  <conditionalFormatting sqref="AJ67">
    <cfRule type="cellIs" priority="1" operator="greaterThan" dxfId="0">
      <formula>0</formula>
    </cfRule>
  </conditionalFormatting>
  <dataValidations count="2">
    <dataValidation sqref="B6:B42 B44:B45 B48:B68 B77:B113 B115:B116 B119:B139" showDropDown="0" showInputMessage="1" showErrorMessage="1" allowBlank="1" type="list">
      <formula1>$D$144:$D$148</formula1>
      <formula2>0</formula2>
    </dataValidation>
    <dataValidation sqref="B5 B76" showDropDown="0" showInputMessage="1" showErrorMessage="1" allowBlank="1" type="list">
      <formula1>$D$77:$D$87</formula1>
      <formula2>0</formula2>
    </dataValidation>
  </dataValidation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7.xml><?xml version="1.0" encoding="utf-8"?>
<worksheet xmlns="http://schemas.openxmlformats.org/spreadsheetml/2006/main">
  <sheetPr>
    <tabColor rgb="FF7030A0"/>
    <outlinePr summaryBelow="1" summaryRight="1"/>
    <pageSetUpPr/>
  </sheetPr>
  <dimension ref="A1:D151"/>
  <sheetViews>
    <sheetView showGridLines="0" topLeftCell="C11" zoomScaleNormal="100" workbookViewId="0">
      <selection activeCell="A1" sqref="A1:D1"/>
    </sheetView>
  </sheetViews>
  <sheetFormatPr baseColWidth="10" defaultColWidth="0" defaultRowHeight="15"/>
  <cols>
    <col width="47" customWidth="1" style="549" min="1" max="1"/>
    <col width="47" customWidth="1" style="549" min="2" max="2"/>
    <col width="47" customWidth="1" style="549" min="3" max="3"/>
    <col width="10" customWidth="1" style="549" min="4" max="4"/>
    <col width="8.7109375" customWidth="1" style="549" min="5" max="5"/>
    <col hidden="1" width="8.7109375" customWidth="1" style="549" min="6" max="7"/>
    <col hidden="1" width="8.7109375" customWidth="1" style="549" min="8" max="16384"/>
  </cols>
  <sheetData>
    <row r="1" ht="20" customHeight="1" s="549">
      <c r="A1" s="746" t="inlineStr">
        <is>
          <t>ANTECEDENTES Y CONTEXTO DEL PROGRAMA — LUZ EN CASA</t>
        </is>
      </c>
    </row>
    <row r="2" ht="48" customHeight="1" s="549">
      <c r="A2" s="600" t="n"/>
    </row>
    <row r="3" ht="14" customHeight="1" s="549">
      <c r="A3" s="801" t="inlineStr">
        <is>
          <t>Antecedentes y Contexto del Programa</t>
        </is>
      </c>
      <c r="B3" s="681" t="n"/>
      <c r="C3" s="681" t="n"/>
      <c r="D3" s="681" t="n"/>
    </row>
    <row r="4" ht="14" customHeight="1" s="549">
      <c r="A4" s="802" t="inlineStr">
        <is>
          <t>Luz en Casa · GORE Coquimbo · Fundación acciona.org</t>
        </is>
      </c>
      <c r="B4" s="686" t="n"/>
      <c r="C4" s="686" t="n"/>
      <c r="D4" s="686" t="n"/>
    </row>
    <row r="5" ht="14" customHeight="1" s="549">
      <c r="A5" s="801" t="inlineStr">
        <is>
          <t>Fuente: Minuta de Proyecto + Minuta Técnica de Proyecto</t>
        </is>
      </c>
      <c r="B5" s="681" t="n"/>
      <c r="C5" s="681" t="n"/>
      <c r="D5" s="681" t="n"/>
    </row>
    <row r="6" ht="21.75" customHeight="1" s="549"/>
    <row r="7" ht="14" customHeight="1" s="549">
      <c r="A7" s="686" t="n"/>
      <c r="B7" s="803" t="inlineStr">
        <is>
          <t>1.  Antecedentes y contextualización</t>
        </is>
      </c>
      <c r="C7" s="686" t="n"/>
      <c r="D7" s="686" t="n"/>
    </row>
    <row r="8" ht="14" customHeight="1" s="549">
      <c r="A8" s="681" t="n"/>
      <c r="B8" s="804" t="inlineStr">
        <is>
          <t>El programa Luz en Casa es una iniciativa de ACCIONA.org, la fundación corporativa de ACCIONA, orientada a llevar soluciones de electrificación con sistemas fotovoltaicos domiciliarios a hogares rurales y aislados de Chile que no cuentan con acceso estable a electricidad.</t>
        </is>
      </c>
      <c r="C8" s="681" t="n"/>
      <c r="D8" s="681" t="n"/>
    </row>
    <row r="9" ht="120" customHeight="1" s="549"/>
    <row r="10" ht="14" customHeight="1" s="549">
      <c r="A10" s="686" t="n"/>
      <c r="B10" s="805" t="inlineStr">
        <is>
          <t>El programa se implementa por primera vez en Chile en 2021, con un proyecto piloto en Caleta Maitencillo, en la Región de Coquimbo. Esta comunidad de pescadores carecía de electricidad o dependía de generadores costosos y de uso limitado. El piloto introdujo un modelo de provisión de servicio adaptado al contexto chileno, incorporando sistemas fotovoltaicos domiciliarios con operación en energía continua como alterna, capaces de alimentar electrodomésticos como refrigeradores.</t>
        </is>
      </c>
      <c r="C10" s="686" t="n"/>
      <c r="D10" s="686" t="n"/>
    </row>
    <row r="11" ht="109.5" customHeight="1" s="549"/>
    <row r="12" ht="14" customHeight="1" s="549">
      <c r="A12" s="681" t="n"/>
      <c r="B12" s="804" t="inlineStr">
        <is>
          <t>En 2019, aún existían cerca de 24.556 hogares sin acceso o con acceso parcial a electricidad en Chile, concentrados principalmente en regiones rurales como Coquimbo, donde se registraban cerca de 3.181 viviendas sin electrificación. Las familias dependían de velas, pilas y generadores fósiles, soluciones costosas y poco seguras. Este contexto justificó la implementación de Luz en Casa para proveer energía renovable asequible y permanente.</t>
        </is>
      </c>
      <c r="C12" s="681" t="n"/>
      <c r="D12" s="681" t="n"/>
    </row>
    <row r="13" ht="82.5" customHeight="1" s="549"/>
    <row r="14" ht="14" customHeight="1" s="549">
      <c r="A14" s="686" t="n"/>
      <c r="B14" s="805" t="inlineStr">
        <is>
          <t>Tras el piloto, el programa se extendió por toda la Región de Coquimbo, alcanzando comunidades costeras y precordilleranas como Los Vilos, Illapel, Canela, Combarbalá, Monte Patria, Punitaqui y Ovalle. Estas zonas incluyen principalmente familias dedicadas a la pesca, ganadería y agricultura, muy afectadas por el cambio climático.</t>
        </is>
      </c>
      <c r="C14" s="686" t="n"/>
      <c r="D14" s="686" t="n"/>
    </row>
    <row r="15" ht="39" customHeight="1" s="549"/>
    <row r="16" ht="14" customHeight="1" s="549">
      <c r="A16" s="681" t="n"/>
      <c r="B16" s="804" t="inlineStr">
        <is>
          <t>Entre 2021 y 2025, el programa benefició a más de 800 familias solo en Coquimbo, mejorando las condiciones de vida de más de 2.600 personas en 160 comunidades.</t>
        </is>
      </c>
      <c r="C16" s="681" t="n"/>
      <c r="D16" s="681" t="n"/>
    </row>
    <row r="17" ht="72.75" customHeight="1" s="549"/>
    <row r="18" ht="14" customHeight="1" s="549">
      <c r="A18" s="686" t="n"/>
      <c r="B18" s="805" t="inlineStr">
        <is>
          <t>En 2025, la iniciativa se amplió a la Región de Atacama, específicamente a las comunas de Caldera y Copiapó, donde se implementaron sistemas fotovoltaicos en 230 hogares aislados. Esta expansión responde a que aún existen aproximadamente 1.000 viviendas sin acceso a la red eléctrica en el país.</t>
        </is>
      </c>
      <c r="C18" s="686" t="n"/>
      <c r="D18" s="686" t="n"/>
    </row>
    <row r="19" ht="18" customHeight="1" s="549"/>
    <row r="20" ht="14" customHeight="1" s="549">
      <c r="A20" s="681" t="n"/>
      <c r="B20" s="806" t="inlineStr">
        <is>
          <t>El programa en Chile incorpora un modelo de gestión que garantiza:</t>
        </is>
      </c>
      <c r="C20" s="681" t="n"/>
      <c r="D20" s="681" t="n"/>
    </row>
    <row r="21" ht="54.75" customHeight="1" s="549"/>
    <row r="22" ht="14" customHeight="1" s="549">
      <c r="A22" s="686" t="n"/>
      <c r="B22" s="807" t="inlineStr">
        <is>
          <t>•</t>
        </is>
      </c>
      <c r="C22" s="808" t="inlineStr">
        <is>
          <t>Mantenimiento continuo de los equipos, asegurado mediante cuotas asequibles aportadas por los usuarios de forma mensual con destino solo a la operación del proyecto.</t>
        </is>
      </c>
      <c r="D22" s="686" t="n"/>
    </row>
    <row r="23" ht="61.5" customHeight="1" s="549"/>
    <row r="24" ht="14" customHeight="1" s="549">
      <c r="A24" s="681" t="n"/>
      <c r="B24" s="809" t="inlineStr">
        <is>
          <t>•</t>
        </is>
      </c>
      <c r="C24" s="810" t="inlineStr">
        <is>
          <t>Un sistema de pago adaptado al territorio, utilizando las 30.000 sucursales de Caja Vecina de BancoEstado, facilitando el acceso de familias rurales a un método de pago cercano y simple.</t>
        </is>
      </c>
      <c r="D24" s="681" t="n"/>
    </row>
    <row r="25" ht="51" customHeight="1" s="549"/>
    <row r="26" ht="14" customHeight="1" s="549">
      <c r="A26" s="686" t="n"/>
      <c r="B26" s="805" t="inlineStr">
        <is>
          <t>Este modelo asegura la sostenibilidad económica y técnica del programa a largo plazo, ya que con el pago de cuota se asegura un cambio de elementos a fin de su vida útil sin un costo extra para los usuarios.</t>
        </is>
      </c>
      <c r="C26" s="686" t="n"/>
      <c r="D26" s="686" t="n"/>
    </row>
    <row r="27" ht="18" customHeight="1" s="549"/>
    <row r="28" ht="14" customHeight="1" s="549">
      <c r="A28" s="681" t="n"/>
      <c r="B28" s="806" t="inlineStr">
        <is>
          <t>El acceso a electricidad estable ha promovido:</t>
        </is>
      </c>
      <c r="C28" s="681" t="n"/>
      <c r="D28" s="681" t="n"/>
    </row>
    <row r="29" ht="27.75" customHeight="1" s="549"/>
    <row r="30" ht="14" customHeight="1" s="549">
      <c r="A30" s="686" t="n"/>
      <c r="B30" s="807" t="inlineStr">
        <is>
          <t>•</t>
        </is>
      </c>
      <c r="C30" s="808" t="inlineStr">
        <is>
          <t>Mejora en salud, educación y conectividad digital de comunidades aisladas.</t>
        </is>
      </c>
      <c r="D30" s="686" t="n"/>
    </row>
    <row r="31" ht="37.5" customHeight="1" s="549"/>
    <row r="32" ht="14" customHeight="1" s="549">
      <c r="A32" s="681" t="n"/>
      <c r="B32" s="809" t="inlineStr">
        <is>
          <t>•</t>
        </is>
      </c>
      <c r="C32" s="810" t="inlineStr">
        <is>
          <t>Desarrollo de actividades productivas, como conservación de alimentos, elaboración de productos y trabajo nocturno.</t>
        </is>
      </c>
      <c r="D32" s="681" t="n"/>
    </row>
    <row r="33" ht="36" customHeight="1" s="549"/>
    <row r="34" ht="14" customHeight="1" s="549">
      <c r="A34" s="686" t="n"/>
      <c r="B34" s="807" t="inlineStr">
        <is>
          <t>•</t>
        </is>
      </c>
      <c r="C34" s="808" t="inlineStr">
        <is>
          <t>Reducción del uso de combustibles fósiles y, con ello, de la contaminación y los costos operativos familiares.</t>
        </is>
      </c>
      <c r="D34" s="686" t="n"/>
    </row>
    <row r="35" ht="39" customHeight="1" s="549"/>
    <row r="36" ht="14" customHeight="1" s="549">
      <c r="A36" s="681" t="n"/>
      <c r="B36" s="809" t="inlineStr">
        <is>
          <t>•</t>
        </is>
      </c>
      <c r="C36" s="810" t="inlineStr">
        <is>
          <t>Generación de empleo local en técnicos eléctricos locales, a cargo de labores de mantenimiento y atención de usuarios.</t>
        </is>
      </c>
      <c r="D36" s="681" t="n"/>
    </row>
    <row r="37" ht="7.5" customHeight="1" s="549"/>
    <row r="38" ht="21.75" customHeight="1" s="549"/>
    <row r="39" ht="14" customHeight="1" s="549">
      <c r="A39" s="686" t="n"/>
      <c r="B39" s="803" t="inlineStr">
        <is>
          <t>2.  Forma de trabajo</t>
        </is>
      </c>
      <c r="C39" s="686" t="n"/>
      <c r="D39" s="686" t="n"/>
    </row>
    <row r="40" ht="14" customHeight="1" s="549">
      <c r="A40" s="681" t="n"/>
      <c r="B40" s="804" t="inlineStr">
        <is>
          <t>El éxito del programa Luz en Casa en Chile se basa en una estructura operativa integral que combina coordinación institucional, trabajo comunitario, logística eficiente y un modelo de gestión orientado a la sostenibilidad.</t>
        </is>
      </c>
      <c r="C40" s="681" t="n"/>
      <c r="D40" s="681" t="n"/>
    </row>
    <row r="41" ht="18" customHeight="1" s="549"/>
    <row r="42" ht="14" customHeight="1" s="549">
      <c r="A42" s="686" t="n"/>
      <c r="B42" s="803" t="inlineStr">
        <is>
          <t>2.1.  Relacionamiento institucional y comunitario</t>
        </is>
      </c>
      <c r="C42" s="686" t="n"/>
      <c r="D42" s="686" t="n"/>
    </row>
    <row r="43" ht="14" customHeight="1" s="549">
      <c r="A43" s="681" t="n"/>
      <c r="B43" s="804" t="inlineStr">
        <is>
          <t>La primera etapa del programa consiste en establecer una red de coordinación con actores relevantes del territorio:</t>
        </is>
      </c>
      <c r="C43" s="681" t="n"/>
      <c r="D43" s="681" t="n"/>
    </row>
    <row r="44" ht="18" customHeight="1" s="549"/>
    <row r="45" ht="14" customHeight="1" s="549">
      <c r="A45" s="686" t="n"/>
      <c r="B45" s="803" t="inlineStr">
        <is>
          <t>2.1.1.  Instituciones públicas</t>
        </is>
      </c>
      <c r="C45" s="686" t="n"/>
      <c r="D45" s="686" t="n"/>
    </row>
    <row r="46" ht="14" customHeight="1" s="549">
      <c r="A46" s="681" t="n"/>
      <c r="B46" s="809" t="inlineStr">
        <is>
          <t>•</t>
        </is>
      </c>
      <c r="C46" s="810" t="inlineStr">
        <is>
          <t>Municipalidades: se coordinan acciones para diagnóstico territorial, acceso a información local y apoyo en la identificación de comunidades prioritarias.</t>
        </is>
      </c>
      <c r="D46" s="681" t="n"/>
    </row>
    <row r="47" ht="14" customHeight="1" s="549">
      <c r="A47" s="686" t="n"/>
      <c r="B47" s="807" t="inlineStr">
        <is>
          <t>•</t>
        </is>
      </c>
      <c r="C47" s="808" t="inlineStr">
        <is>
          <t>Superintendencia de Electricidad y Combustibles (SEC): se asegura el cumplimiento de normativas y estándares técnicos.</t>
        </is>
      </c>
      <c r="D47" s="686" t="n"/>
    </row>
    <row r="48" ht="14" customHeight="1" s="549">
      <c r="A48" s="681" t="n"/>
      <c r="B48" s="809" t="inlineStr">
        <is>
          <t>•</t>
        </is>
      </c>
      <c r="C48" s="810" t="inlineStr">
        <is>
          <t>Otros organismos sectoriales: Subsecretarías Regionales, Gobernaciones Regionales, INDAP y programas sociales de instituciones públicas.</t>
        </is>
      </c>
      <c r="D48" s="681" t="n"/>
    </row>
    <row r="49" ht="18" customHeight="1" s="549"/>
    <row r="50" ht="14" customHeight="1" s="549">
      <c r="A50" s="686" t="n"/>
      <c r="B50" s="803" t="inlineStr">
        <is>
          <t>2.1.2.  Organizaciones sociales y comunitarias</t>
        </is>
      </c>
      <c r="C50" s="686" t="n"/>
      <c r="D50" s="686" t="n"/>
    </row>
    <row r="51" ht="14" customHeight="1" s="549">
      <c r="A51" s="681" t="n"/>
      <c r="B51" s="809" t="inlineStr">
        <is>
          <t>•</t>
        </is>
      </c>
      <c r="C51" s="810" t="inlineStr">
        <is>
          <t>Presidentes de comunidades y juntas de vecinos: actores clave en la convocatoria, registro y validación de beneficiarios.</t>
        </is>
      </c>
      <c r="D51" s="681" t="n"/>
    </row>
    <row r="52" ht="14" customHeight="1" s="549">
      <c r="A52" s="686" t="n"/>
      <c r="B52" s="807" t="inlineStr">
        <is>
          <t>•</t>
        </is>
      </c>
      <c r="C52" s="808" t="inlineStr">
        <is>
          <t>Centros de Energía Fotovoltaica (CEF): estructuras comunitarias conformadas por Fundación acciona.org que apoyan el uso, supervisión y mantenimiento básico del sistema.</t>
        </is>
      </c>
      <c r="D52" s="686" t="n"/>
    </row>
    <row r="53" ht="14" customHeight="1" s="549">
      <c r="A53" s="681" t="n"/>
      <c r="B53" s="809" t="inlineStr">
        <is>
          <t>•</t>
        </is>
      </c>
      <c r="C53" s="810" t="inlineStr">
        <is>
          <t>Actores productivos locales: asociaciones de pescadores, crianceros y agricultores que requieren energía para mejorar sus capacidades productivas.</t>
        </is>
      </c>
      <c r="D53" s="681" t="n"/>
    </row>
    <row r="54" ht="24" customHeight="1" s="549"/>
    <row r="55" ht="14" customHeight="1" s="549">
      <c r="A55" s="686" t="n"/>
      <c r="B55" s="805" t="inlineStr">
        <is>
          <t>Esta fase permite asegurar legitimidad territorial, transparencia y participación de la comunidad en todo el proceso.</t>
        </is>
      </c>
      <c r="C55" s="686" t="n"/>
      <c r="D55" s="686" t="n"/>
    </row>
    <row r="56" ht="18" customHeight="1" s="549"/>
    <row r="57" ht="14" customHeight="1" s="549">
      <c r="A57" s="681" t="n"/>
      <c r="B57" s="811" t="inlineStr">
        <is>
          <t>2.2.  Trabajo comunitario</t>
        </is>
      </c>
      <c r="C57" s="681" t="n"/>
      <c r="D57" s="681" t="n"/>
    </row>
    <row r="58" ht="14" customHeight="1" s="549">
      <c r="A58" s="686" t="n"/>
      <c r="B58" s="805" t="inlineStr">
        <is>
          <t>El trabajo directo con las familias es esencial para asegurar un diseño adecuado y sostenible del proyecto. Incluye las siguientes actividades:</t>
        </is>
      </c>
      <c r="C58" s="686" t="n"/>
      <c r="D58" s="686" t="n"/>
    </row>
    <row r="59" ht="24" customHeight="1" s="549"/>
    <row r="60" ht="14" customHeight="1" s="549">
      <c r="A60" s="681" t="n"/>
      <c r="B60" s="809" t="inlineStr">
        <is>
          <t>•</t>
        </is>
      </c>
      <c r="C60" s="810" t="inlineStr">
        <is>
          <t>Reuniones con autoridades locales para presentar el programa, sus beneficios y requerimientos.</t>
        </is>
      </c>
      <c r="D60" s="681" t="n"/>
    </row>
    <row r="61" ht="14" customHeight="1" s="549">
      <c r="A61" s="686" t="n"/>
      <c r="B61" s="807" t="inlineStr">
        <is>
          <t>•</t>
        </is>
      </c>
      <c r="C61" s="808" t="inlineStr">
        <is>
          <t>Identificación de comunidades y levantamiento documental: información preliminar de necesidades energéticas para proyectar trabajo de gabinete y recolección en terreno.</t>
        </is>
      </c>
      <c r="D61" s="686" t="n"/>
    </row>
    <row r="62" ht="14" customHeight="1" s="549">
      <c r="A62" s="681" t="n"/>
      <c r="B62" s="809" t="inlineStr">
        <is>
          <t>•</t>
        </is>
      </c>
      <c r="C62" s="810" t="inlineStr">
        <is>
          <t>Sensibilización y jornadas informativas: se presenta el modelo de servicio, costos, equipos y compromisos mutuos, incluyendo alcances y limitaciones del equipo, registrando solo a quienes con esa información sigan interesados.</t>
        </is>
      </c>
      <c r="D62" s="681" t="n"/>
    </row>
    <row r="63" ht="14" customHeight="1" s="549">
      <c r="A63" s="686" t="n"/>
      <c r="B63" s="807" t="inlineStr">
        <is>
          <t>•</t>
        </is>
      </c>
      <c r="C63" s="808" t="inlineStr">
        <is>
          <t>Registro de fichas de interés: las familias formalizan su intención de participar mediante documento físico que pasa a base de datos. Se revisa condición de vivienda y propiedad de terreno (requisito: residente permanente).</t>
        </is>
      </c>
      <c r="D63" s="686" t="n"/>
    </row>
    <row r="64" ht="14" customHeight="1" s="549">
      <c r="A64" s="681" t="n"/>
      <c r="B64" s="809" t="inlineStr">
        <is>
          <t>•</t>
        </is>
      </c>
      <c r="C64" s="810" t="inlineStr">
        <is>
          <t>Encuestas socioeconómicas para priorizar hogares según vulnerabilidad, dispersión geográfica y/o urgencia energética.</t>
        </is>
      </c>
      <c r="D64" s="681" t="n"/>
    </row>
    <row r="65" ht="14" customHeight="1" s="549">
      <c r="A65" s="686" t="n"/>
      <c r="B65" s="807" t="inlineStr">
        <is>
          <t>•</t>
        </is>
      </c>
      <c r="C65" s="808" t="inlineStr">
        <is>
          <t>Conformación de Centros Luz en Casa (CEF): red comunitaria encargada de apoyar la operación local del programa y fortalecer la apropiación comunitaria del sistema.</t>
        </is>
      </c>
      <c r="D65" s="686" t="n"/>
    </row>
    <row r="66" ht="18" customHeight="1" s="549"/>
    <row r="67" ht="14" customHeight="1" s="549">
      <c r="A67" s="681" t="n"/>
      <c r="B67" s="811" t="inlineStr">
        <is>
          <t>2.3.  Suministro y logística</t>
        </is>
      </c>
      <c r="C67" s="681" t="n"/>
      <c r="D67" s="681" t="n"/>
    </row>
    <row r="68" ht="14" customHeight="1" s="549">
      <c r="A68" s="686" t="n"/>
      <c r="B68" s="805" t="inlineStr">
        <is>
          <t>La logística del programa combina procesos nacionales e internacionales, asegurando el suministro y buen estado de los equipos:</t>
        </is>
      </c>
      <c r="C68" s="686" t="n"/>
      <c r="D68" s="686" t="n"/>
    </row>
    <row r="69" ht="39.75" customHeight="1" s="549"/>
    <row r="70" ht="14" customHeight="1" s="549">
      <c r="A70" s="681" t="n"/>
      <c r="B70" s="809" t="inlineStr">
        <is>
          <t>•</t>
        </is>
      </c>
      <c r="C70" s="810" t="inlineStr">
        <is>
          <t>Compra de equipos en fábrica (Zimpertec GmbH &amp; Co. KG, Alemania) bajo especificaciones técnicas internacionales. Tiempo de importación desde la compra: 4–5 meses.</t>
        </is>
      </c>
      <c r="D70" s="681" t="n"/>
    </row>
    <row r="71" ht="14" customHeight="1" s="549">
      <c r="A71" s="686" t="n"/>
      <c r="B71" s="807" t="inlineStr">
        <is>
          <t>•</t>
        </is>
      </c>
      <c r="C71" s="808" t="inlineStr">
        <is>
          <t>Transporte marítimo hacia Chile, incluyendo gestión aduanera para internación: ~2 meses en proceso.</t>
        </is>
      </c>
      <c r="D71" s="686" t="n"/>
    </row>
    <row r="72" ht="14" customHeight="1" s="549">
      <c r="A72" s="681" t="n"/>
      <c r="B72" s="809" t="inlineStr">
        <is>
          <t>•</t>
        </is>
      </c>
      <c r="C72" s="810" t="inlineStr">
        <is>
          <t>Recepción en bodega: inspección técnica y control de calidad de equipos a la llegada al país.</t>
        </is>
      </c>
      <c r="D72" s="681" t="n"/>
    </row>
    <row r="73" ht="14" customHeight="1" s="549">
      <c r="A73" s="686" t="n"/>
      <c r="B73" s="807" t="inlineStr">
        <is>
          <t>•</t>
        </is>
      </c>
      <c r="C73" s="808" t="inlineStr">
        <is>
          <t>Contratación de personal local: contribuye al empleo comunitario y mejora la implementación en terreno.</t>
        </is>
      </c>
      <c r="D73" s="686" t="n"/>
    </row>
    <row r="74" ht="14" customHeight="1" s="549">
      <c r="A74" s="681" t="n"/>
      <c r="B74" s="809" t="inlineStr">
        <is>
          <t>•</t>
        </is>
      </c>
      <c r="C74" s="810" t="inlineStr">
        <is>
          <t>Compra de insumos complementarios: soportes, cableado, porta soquetes, elementos de ferretería eléctrica.</t>
        </is>
      </c>
      <c r="D74" s="681" t="n"/>
    </row>
    <row r="75" ht="14" customHeight="1" s="549">
      <c r="A75" s="686" t="n"/>
      <c r="B75" s="807" t="inlineStr">
        <is>
          <t>•</t>
        </is>
      </c>
      <c r="C75" s="808" t="inlineStr">
        <is>
          <t>Transporte de insumos entre regiones cuando no se cuente con proveedor local.</t>
        </is>
      </c>
      <c r="D75" s="686" t="n"/>
    </row>
    <row r="76" ht="14" customHeight="1" s="549">
      <c r="A76" s="681" t="n"/>
      <c r="B76" s="809" t="inlineStr">
        <is>
          <t>•</t>
        </is>
      </c>
      <c r="C76" s="810" t="inlineStr">
        <is>
          <t>Preparación logística y contractiva: documentación de usuarios, contratos de servicio y carga de datos en sistema Proteo.</t>
        </is>
      </c>
      <c r="D76" s="681" t="n"/>
    </row>
    <row r="77" ht="14" customHeight="1" s="549">
      <c r="A77" s="686" t="n"/>
      <c r="B77" s="807" t="inlineStr">
        <is>
          <t>•</t>
        </is>
      </c>
      <c r="C77" s="808" t="inlineStr">
        <is>
          <t>Asignación de cuadrillas de instalación según ruta y geografía.</t>
        </is>
      </c>
      <c r="D77" s="686" t="n"/>
    </row>
    <row r="78" ht="14" customHeight="1" s="549">
      <c r="A78" s="681" t="n"/>
      <c r="B78" s="809" t="inlineStr">
        <is>
          <t>•</t>
        </is>
      </c>
      <c r="C78" s="810" t="inlineStr">
        <is>
          <t>Entrega e instalación de los sistemas fotovoltaicos, junto con capacitación básica a los usuarios.</t>
        </is>
      </c>
      <c r="D78" s="681" t="n"/>
    </row>
    <row r="79" ht="21.75" customHeight="1" s="549"/>
    <row r="80" ht="14" customHeight="1" s="549">
      <c r="A80" s="686" t="n"/>
      <c r="B80" s="803" t="inlineStr">
        <is>
          <t>3.  Alcance técnico de los equipos suministrados</t>
        </is>
      </c>
      <c r="C80" s="686" t="n"/>
      <c r="D80" s="686" t="n"/>
    </row>
    <row r="81" ht="14" customHeight="1" s="549">
      <c r="A81" s="681" t="n"/>
      <c r="B81" s="804" t="inlineStr">
        <is>
          <t>Los sistemas solares domiciliarios utilizados en el proyecto Luz en Casa Chile provienen del proveedor Zimpertec GmbH &amp; Co. KG, Alemania, fabricante especializado en soluciones solares autónomas y sistemas off-grid para electrificación rural.</t>
        </is>
      </c>
      <c r="C81" s="681" t="n"/>
      <c r="D81" s="681" t="n"/>
    </row>
    <row r="82" ht="18" customHeight="1" s="549"/>
    <row r="83" ht="14" customHeight="1" s="549">
      <c r="A83" s="686" t="n"/>
      <c r="B83" s="803" t="inlineStr">
        <is>
          <t>3.1.  Sistema Solar Domiciliario AC (SHS AC)</t>
        </is>
      </c>
      <c r="C83" s="686" t="n"/>
      <c r="D83" s="686" t="n"/>
    </row>
    <row r="84" ht="14" customHeight="1" s="549">
      <c r="A84" s="681" t="n"/>
      <c r="B84" s="804" t="inlineStr">
        <is>
          <t>Modelo completo: AC-LS-AC25.6V/50Ah/1.28kWh/220V/50Hz/0.9kW-HP/Termcon-a</t>
        </is>
      </c>
      <c r="C84" s="681" t="n"/>
      <c r="D84" s="681" t="n"/>
    </row>
    <row r="85" ht="15.75" customHeight="1" s="549"/>
    <row r="86" ht="14" customHeight="1" s="549">
      <c r="A86" s="686" t="n"/>
      <c r="B86" s="807" t="inlineStr">
        <is>
          <t>•</t>
        </is>
      </c>
      <c r="C86" s="808" t="inlineStr">
        <is>
          <t>Inversor AC: 900 W, salida nominal 220 V / 50 Hz.</t>
        </is>
      </c>
      <c r="D86" s="686" t="n"/>
    </row>
    <row r="87" ht="14" customHeight="1" s="549">
      <c r="A87" s="681" t="n"/>
      <c r="B87" s="809" t="inlineStr">
        <is>
          <t>•</t>
        </is>
      </c>
      <c r="C87" s="810" t="inlineStr">
        <is>
          <t>Batería: Litio LFP 25.6 V / 50 Ah / 1.28 kWh, larga vida útil.</t>
        </is>
      </c>
      <c r="D87" s="681" t="n"/>
    </row>
    <row r="88" ht="14" customHeight="1" s="549">
      <c r="A88" s="686" t="n"/>
      <c r="B88" s="807" t="inlineStr">
        <is>
          <t>•</t>
        </is>
      </c>
      <c r="C88" s="808" t="inlineStr">
        <is>
          <t>Controlador: PWM 40 A.</t>
        </is>
      </c>
      <c r="D88" s="686" t="n"/>
    </row>
    <row r="89" ht="14" customHeight="1" s="549">
      <c r="A89" s="681" t="n"/>
      <c r="B89" s="809" t="inlineStr">
        <is>
          <t>•</t>
        </is>
      </c>
      <c r="C89" s="810" t="inlineStr">
        <is>
          <t>Salida DC: 24 V / 10 A.</t>
        </is>
      </c>
      <c r="D89" s="681" t="n"/>
    </row>
    <row r="90" ht="14" customHeight="1" s="549">
      <c r="A90" s="686" t="n"/>
      <c r="B90" s="807" t="inlineStr">
        <is>
          <t>•</t>
        </is>
      </c>
      <c r="C90" s="808" t="inlineStr">
        <is>
          <t>Conexiones internas: AC OUT, LOAD1 OUT (DC), PANEL IN.</t>
        </is>
      </c>
      <c r="D90" s="686" t="n"/>
    </row>
    <row r="91" ht="14" customHeight="1" s="549">
      <c r="A91" s="681" t="n"/>
      <c r="B91" s="809" t="inlineStr">
        <is>
          <t>•</t>
        </is>
      </c>
      <c r="C91" s="810" t="inlineStr">
        <is>
          <t>Gabinete: color gris, especificación especial para acciona.org.</t>
        </is>
      </c>
      <c r="D91" s="681" t="n"/>
    </row>
    <row r="92" ht="14" customHeight="1" s="549">
      <c r="A92" s="686" t="n"/>
      <c r="B92" s="807" t="inlineStr">
        <is>
          <t>•</t>
        </is>
      </c>
      <c r="C92" s="808" t="inlineStr">
        <is>
          <t>Operación: optimizado para cargas AC básicas y picos por motores pequeños.</t>
        </is>
      </c>
      <c r="D92" s="686" t="n"/>
    </row>
    <row r="93" ht="18" customHeight="1" s="549"/>
    <row r="94" ht="14" customHeight="1" s="549">
      <c r="A94" s="681" t="n"/>
      <c r="B94" s="811" t="inlineStr">
        <is>
          <t>3.2.  Panel solar fotovoltaico</t>
        </is>
      </c>
      <c r="C94" s="681" t="n"/>
      <c r="D94" s="681" t="n"/>
    </row>
    <row r="95" ht="14" customHeight="1" s="549">
      <c r="A95" s="686" t="n"/>
      <c r="B95" s="805" t="inlineStr">
        <is>
          <t>Modelo: SP-500-66M-S4-0.35</t>
        </is>
      </c>
      <c r="C95" s="686" t="n"/>
      <c r="D95" s="686" t="n"/>
    </row>
    <row r="96" ht="15.75" customHeight="1" s="549"/>
    <row r="97" ht="14" customHeight="1" s="549">
      <c r="A97" s="681" t="n"/>
      <c r="B97" s="809" t="inlineStr">
        <is>
          <t>•</t>
        </is>
      </c>
      <c r="C97" s="810" t="inlineStr">
        <is>
          <t>500 Wp, tecnología monocristalina.</t>
        </is>
      </c>
      <c r="D97" s="681" t="n"/>
    </row>
    <row r="98" ht="14" customHeight="1" s="549">
      <c r="A98" s="686" t="n"/>
      <c r="B98" s="807" t="inlineStr">
        <is>
          <t>•</t>
        </is>
      </c>
      <c r="C98" s="808" t="inlineStr">
        <is>
          <t>66 celdas en serie.</t>
        </is>
      </c>
      <c r="D98" s="686" t="n"/>
    </row>
    <row r="99" ht="14" customHeight="1" s="549">
      <c r="A99" s="681" t="n"/>
      <c r="B99" s="809" t="inlineStr">
        <is>
          <t>•</t>
        </is>
      </c>
      <c r="C99" s="810" t="inlineStr">
        <is>
          <t>Cableado S4 con terminal de 0.35 m.</t>
        </is>
      </c>
      <c r="D99" s="681" t="n"/>
    </row>
    <row r="100" ht="18" customHeight="1" s="549"/>
    <row r="101" ht="14" customHeight="1" s="549">
      <c r="A101" s="686" t="n"/>
      <c r="B101" s="803" t="inlineStr">
        <is>
          <t>3.3.  Luminarias LED</t>
        </is>
      </c>
      <c r="C101" s="686" t="n"/>
      <c r="D101" s="686" t="n"/>
    </row>
    <row r="102" ht="14" customHeight="1" s="549">
      <c r="A102" s="681" t="n"/>
      <c r="B102" s="804" t="inlineStr">
        <is>
          <t>Modelo: SFL-12-24/05CW</t>
        </is>
      </c>
      <c r="C102" s="681" t="n"/>
      <c r="D102" s="681" t="n"/>
    </row>
    <row r="103" ht="15.75" customHeight="1" s="549"/>
    <row r="104" ht="14" customHeight="1" s="549">
      <c r="A104" s="686" t="n"/>
      <c r="B104" s="807" t="inlineStr">
        <is>
          <t>•</t>
        </is>
      </c>
      <c r="C104" s="808" t="inlineStr">
        <is>
          <t>5 W.</t>
        </is>
      </c>
      <c r="D104" s="686" t="n"/>
    </row>
    <row r="105" ht="14" customHeight="1" s="549">
      <c r="A105" s="681" t="n"/>
      <c r="B105" s="809" t="inlineStr">
        <is>
          <t>•</t>
        </is>
      </c>
      <c r="C105" s="810" t="inlineStr">
        <is>
          <t>12/24 VDC (consumo reducido).</t>
        </is>
      </c>
      <c r="D105" s="681" t="n"/>
    </row>
    <row r="106" ht="14" customHeight="1" s="549">
      <c r="A106" s="686" t="n"/>
      <c r="B106" s="807" t="inlineStr">
        <is>
          <t>•</t>
        </is>
      </c>
      <c r="C106" s="808" t="inlineStr">
        <is>
          <t>Cool White.</t>
        </is>
      </c>
      <c r="D106" s="686" t="n"/>
    </row>
    <row r="107" ht="14" customHeight="1" s="549">
      <c r="A107" s="681" t="n"/>
      <c r="B107" s="809" t="inlineStr">
        <is>
          <t>•</t>
        </is>
      </c>
      <c r="C107" s="810" t="inlineStr">
        <is>
          <t>Certificaciones CE y ROHS.</t>
        </is>
      </c>
      <c r="D107" s="681" t="n"/>
    </row>
    <row r="108" ht="21.75" customHeight="1" s="549"/>
    <row r="109" ht="14" customHeight="1" s="549">
      <c r="A109" s="686" t="n"/>
      <c r="B109" s="803" t="inlineStr">
        <is>
          <t>4.  Alcance de la instalación por vivienda</t>
        </is>
      </c>
      <c r="C109" s="686" t="n"/>
      <c r="D109" s="686" t="n"/>
    </row>
    <row r="110" ht="14" customHeight="1" s="549">
      <c r="A110" s="681" t="n"/>
      <c r="B110" s="804" t="inlineStr">
        <is>
          <t>Cada vivienda usuaria del programa Luz en Casa Chile recibe una instalación estandarizada, basada en el modelo AC del proveedor.</t>
        </is>
      </c>
      <c r="C110" s="681" t="n"/>
      <c r="D110" s="681" t="n"/>
    </row>
    <row r="111" ht="18" customHeight="1" s="549"/>
    <row r="112" ht="14" customHeight="1" s="549">
      <c r="A112" s="686" t="n"/>
      <c r="B112" s="803" t="inlineStr">
        <is>
          <t>4.1.  Puntos de alumbrado (DC)</t>
        </is>
      </c>
      <c r="C112" s="686" t="n"/>
      <c r="D112" s="686" t="n"/>
    </row>
    <row r="113" ht="14" customHeight="1" s="549">
      <c r="A113" s="681" t="n"/>
      <c r="B113" s="809" t="inlineStr">
        <is>
          <t>•</t>
        </is>
      </c>
      <c r="C113" s="810" t="inlineStr">
        <is>
          <t>3 luminarias LED DC conectadas al sistema.</t>
        </is>
      </c>
      <c r="D113" s="681" t="n"/>
    </row>
    <row r="114" ht="14" customHeight="1" s="549">
      <c r="A114" s="686" t="n"/>
      <c r="B114" s="807" t="inlineStr">
        <is>
          <t>•</t>
        </is>
      </c>
      <c r="C114" s="808" t="inlineStr">
        <is>
          <t>Tensión: 12/24 V DC.</t>
        </is>
      </c>
      <c r="D114" s="686" t="n"/>
    </row>
    <row r="115" ht="14" customHeight="1" s="549">
      <c r="A115" s="681" t="n"/>
      <c r="B115" s="809" t="inlineStr">
        <is>
          <t>•</t>
        </is>
      </c>
      <c r="C115" s="810" t="inlineStr">
        <is>
          <t>Distribución interna mediante cableado premontado.</t>
        </is>
      </c>
      <c r="D115" s="681" t="n"/>
    </row>
    <row r="116" ht="14" customHeight="1" s="549">
      <c r="A116" s="686" t="n"/>
      <c r="B116" s="807" t="inlineStr">
        <is>
          <t>•</t>
        </is>
      </c>
      <c r="C116" s="808" t="inlineStr">
        <is>
          <t>Máximo total permitido: 20 metros lineales de cableado interior por vivienda.</t>
        </is>
      </c>
      <c r="D116" s="686" t="n"/>
    </row>
    <row r="117" ht="19.5" customHeight="1" s="549"/>
    <row r="118" ht="14" customHeight="1" s="549">
      <c r="A118" s="681" t="n"/>
      <c r="B118" s="804" t="inlineStr">
        <is>
          <t>(Este alcance está alineado al estándar de instalación de acciona.org para kit de sistemas y a la distribución típica de iluminación del SHS AC.)</t>
        </is>
      </c>
      <c r="C118" s="681" t="n"/>
      <c r="D118" s="681" t="n"/>
    </row>
    <row r="119" ht="18" customHeight="1" s="549"/>
    <row r="120" ht="14" customHeight="1" s="549">
      <c r="A120" s="686" t="n"/>
      <c r="B120" s="803" t="inlineStr">
        <is>
          <t>4.2.  Punto de energía alterna (AC)</t>
        </is>
      </c>
      <c r="C120" s="686" t="n"/>
      <c r="D120" s="686" t="n"/>
    </row>
    <row r="121" ht="14" customHeight="1" s="549">
      <c r="A121" s="681" t="n"/>
      <c r="B121" s="804" t="inlineStr">
        <is>
          <t>Cada vivienda recibe:</t>
        </is>
      </c>
      <c r="C121" s="681" t="n"/>
      <c r="D121" s="681" t="n"/>
    </row>
    <row r="122" ht="14" customHeight="1" s="549">
      <c r="A122" s="686" t="n"/>
      <c r="B122" s="807" t="inlineStr">
        <is>
          <t>•</t>
        </is>
      </c>
      <c r="C122" s="808" t="inlineStr">
        <is>
          <t>1 toma de corriente AC, conectada al inversor integrado.</t>
        </is>
      </c>
      <c r="D122" s="686" t="n"/>
    </row>
    <row r="123" ht="14" customHeight="1" s="549">
      <c r="A123" s="681" t="n"/>
      <c r="B123" s="809" t="inlineStr">
        <is>
          <t>•</t>
        </is>
      </c>
      <c r="C123" s="810" t="inlineStr">
        <is>
          <t>Salida: 220 V / 50 Hz.</t>
        </is>
      </c>
      <c r="D123" s="681" t="n"/>
    </row>
    <row r="124" ht="14" customHeight="1" s="549">
      <c r="A124" s="686" t="n"/>
      <c r="B124" s="807" t="inlineStr">
        <is>
          <t>•</t>
        </is>
      </c>
      <c r="C124" s="808" t="inlineStr">
        <is>
          <t>Capacidad: cargas básicas de bajo consumo (TV pequeña, router, ventilador pequeño, laptop, etc.).</t>
        </is>
      </c>
      <c r="D124" s="686" t="n"/>
    </row>
    <row r="125" ht="14" customHeight="1" s="549">
      <c r="A125" s="681" t="n"/>
      <c r="B125" s="809" t="inlineStr">
        <is>
          <t>•</t>
        </is>
      </c>
      <c r="C125" s="810" t="inlineStr">
        <is>
          <t>Los equipos quedan prohibidos para uso en congeladoras de gran tamaño, bombas de agua y cualquier otro elemento de alto consumo energético.</t>
        </is>
      </c>
      <c r="D125" s="681" t="n"/>
    </row>
    <row r="126" ht="27.75" customHeight="1" s="549"/>
    <row r="127" ht="14" customHeight="1" s="549">
      <c r="A127" s="686" t="n"/>
      <c r="B127" s="805" t="inlineStr">
        <is>
          <t>Este punto permite el uso de electrodomésticos esenciales, ampliando significativamente el impacto energético respecto a soluciones de menor capacidad.</t>
        </is>
      </c>
      <c r="C127" s="686" t="n"/>
      <c r="D127" s="686" t="n"/>
    </row>
    <row r="128" ht="21.75" customHeight="1" s="549"/>
    <row r="129" ht="14" customHeight="1" s="549">
      <c r="A129" s="681" t="n"/>
      <c r="B129" s="811" t="inlineStr">
        <is>
          <t>5.  Proceso formal de instalación</t>
        </is>
      </c>
      <c r="C129" s="681" t="n"/>
      <c r="D129" s="681" t="n"/>
    </row>
    <row r="130" ht="14" customHeight="1" s="549">
      <c r="A130" s="686" t="n"/>
      <c r="B130" s="805" t="inlineStr">
        <is>
          <t>Las cuadrillas realizan el proceso bajo protocolo interno:</t>
        </is>
      </c>
      <c r="C130" s="686" t="n"/>
      <c r="D130" s="686" t="n"/>
    </row>
    <row r="131" ht="18.75" customHeight="1" s="549"/>
    <row r="132" ht="14" customHeight="1" s="549">
      <c r="A132" s="681" t="n"/>
      <c r="B132" s="809" t="inlineStr">
        <is>
          <t>1.</t>
        </is>
      </c>
      <c r="C132" s="810" t="inlineStr">
        <is>
          <t>Recepción y revisión de equipos en bodega (conforme a la guía de trabajo de usuarios asignada).</t>
        </is>
      </c>
      <c r="D132" s="681" t="n"/>
    </row>
    <row r="133" ht="14" customHeight="1" s="549">
      <c r="A133" s="686" t="n"/>
      <c r="B133" s="807" t="inlineStr">
        <is>
          <t>2.</t>
        </is>
      </c>
      <c r="C133" s="808" t="inlineStr">
        <is>
          <t>Montaje del panel en cubierta con orientación adecuada, para buscar la máxima eficiencia.</t>
        </is>
      </c>
      <c r="D133" s="686" t="n"/>
    </row>
    <row r="134" ht="14" customHeight="1" s="549">
      <c r="A134" s="681" t="n"/>
      <c r="B134" s="809" t="inlineStr">
        <is>
          <t>3.</t>
        </is>
      </c>
      <c r="C134" s="810" t="inlineStr">
        <is>
          <t>Instalación del gabinete AC dentro de la vivienda, en zona segura y ventilada, validado con el propietario.</t>
        </is>
      </c>
      <c r="D134" s="681" t="n"/>
    </row>
    <row r="135" ht="14" customHeight="1" s="549">
      <c r="A135" s="686" t="n"/>
      <c r="B135" s="807" t="inlineStr">
        <is>
          <t>4.</t>
        </is>
      </c>
      <c r="C135" s="808" t="inlineStr">
        <is>
          <t>Instalación del circuito DC (3 luminarias, con un máximo de 20 metros lineales) y punto AC (1 enchufe a menos de 1 metro de equipo).</t>
        </is>
      </c>
      <c r="D135" s="686" t="n"/>
    </row>
    <row r="136" ht="14" customHeight="1" s="549">
      <c r="A136" s="681" t="n"/>
      <c r="B136" s="809" t="inlineStr">
        <is>
          <t>5.</t>
        </is>
      </c>
      <c r="C136" s="810" t="inlineStr">
        <is>
          <t>Trabajo de toma a tierra de cada equipo.</t>
        </is>
      </c>
      <c r="D136" s="681" t="n"/>
    </row>
    <row r="137" ht="14" customHeight="1" s="549">
      <c r="A137" s="686" t="n"/>
      <c r="B137" s="807" t="inlineStr">
        <is>
          <t>6.</t>
        </is>
      </c>
      <c r="C137" s="808" t="inlineStr">
        <is>
          <t>Pruebas de funcionamiento y verificación de tensiones.</t>
        </is>
      </c>
      <c r="D137" s="686" t="n"/>
    </row>
    <row r="138" ht="14" customHeight="1" s="549">
      <c r="A138" s="681" t="n"/>
      <c r="B138" s="809" t="inlineStr">
        <is>
          <t>7.</t>
        </is>
      </c>
      <c r="C138" s="810" t="inlineStr">
        <is>
          <t>Registro fotográfico y georreferenciación.</t>
        </is>
      </c>
      <c r="D138" s="681" t="n"/>
    </row>
    <row r="139" ht="14" customHeight="1" s="549">
      <c r="A139" s="686" t="n"/>
      <c r="B139" s="807" t="inlineStr">
        <is>
          <t>8.</t>
        </is>
      </c>
      <c r="C139" s="808" t="inlineStr">
        <is>
          <t>Firma de acta de recepción de instalaciones.</t>
        </is>
      </c>
      <c r="D139" s="686" t="n"/>
    </row>
    <row r="140" ht="18" customHeight="1" s="549"/>
    <row r="141" ht="14" customHeight="1" s="549">
      <c r="A141" s="681" t="n"/>
      <c r="B141" s="811" t="inlineStr">
        <is>
          <t>5.1.  Declaración voluntaria TE-1</t>
        </is>
      </c>
      <c r="C141" s="681" t="n"/>
      <c r="D141" s="681" t="n"/>
    </row>
    <row r="142" ht="14" customHeight="1" s="549">
      <c r="A142" s="686" t="n"/>
      <c r="B142" s="805" t="inlineStr">
        <is>
          <t>Cada instalación se declara voluntariamente ante la SEC mediante TE-1 individual, siguiendo el procedimiento validado por acciona.org.</t>
        </is>
      </c>
      <c r="C142" s="686" t="n"/>
      <c r="D142" s="686" t="n"/>
    </row>
    <row r="143" ht="15.75" customHeight="1" s="549"/>
    <row r="144" ht="14" customHeight="1" s="549">
      <c r="A144" s="681" t="n"/>
      <c r="B144" s="804" t="inlineStr">
        <is>
          <t>La TE-1 permite dejar constancia:</t>
        </is>
      </c>
      <c r="C144" s="681" t="n"/>
      <c r="D144" s="681" t="n"/>
    </row>
    <row r="145" ht="14" customHeight="1" s="549">
      <c r="A145" s="686" t="n"/>
      <c r="B145" s="807" t="inlineStr">
        <is>
          <t>•</t>
        </is>
      </c>
      <c r="C145" s="808" t="inlineStr">
        <is>
          <t>De la instalación fotovoltaica interior de baja potencia.</t>
        </is>
      </c>
      <c r="D145" s="686" t="n"/>
    </row>
    <row r="146" ht="14" customHeight="1" s="549">
      <c r="A146" s="681" t="n"/>
      <c r="B146" s="809" t="inlineStr">
        <is>
          <t>•</t>
        </is>
      </c>
      <c r="C146" s="810" t="inlineStr">
        <is>
          <t>De la correcta ejecución por parte de un instalador autorizado.</t>
        </is>
      </c>
      <c r="D146" s="681" t="n"/>
    </row>
    <row r="147" ht="14" customHeight="1" s="549">
      <c r="A147" s="686" t="n"/>
      <c r="B147" s="807" t="inlineStr">
        <is>
          <t>•</t>
        </is>
      </c>
      <c r="C147" s="808" t="inlineStr">
        <is>
          <t>De la conformidad técnica del sistema según normativa aplicable.</t>
        </is>
      </c>
      <c r="D147" s="686" t="n"/>
    </row>
    <row r="148" ht="27.75" customHeight="1" s="549"/>
    <row r="149" ht="14" customHeight="1" s="549">
      <c r="A149" s="681" t="n"/>
      <c r="B149" s="804" t="inlineStr">
        <is>
          <t>Esta declaración voluntaria contribuye a la trazabilidad, la transparencia técnica y la protección del usuario final.</t>
        </is>
      </c>
      <c r="C149" s="681" t="n"/>
      <c r="D149" s="681" t="n"/>
    </row>
    <row r="150" ht="13.5" customHeight="1" s="549"/>
    <row r="151" ht="14" customHeight="1" s="549">
      <c r="A151" s="757" t="inlineStr">
        <is>
          <t>Documento interno · Fundación acciona.org · Luz en Casa GORE Coquimbo · Revisión 1.0 · 17/02/2026</t>
        </is>
      </c>
      <c r="B151" s="686" t="n"/>
      <c r="C151" s="686" t="n"/>
      <c r="D151" s="686" t="n"/>
    </row>
  </sheetData>
  <mergeCells count="47">
    <mergeCell ref="B129:C129"/>
    <mergeCell ref="B109:C109"/>
    <mergeCell ref="A150:D150"/>
    <mergeCell ref="B54:C54"/>
    <mergeCell ref="B100:C100"/>
    <mergeCell ref="B7:C7"/>
    <mergeCell ref="B25:C25"/>
    <mergeCell ref="A4:D4"/>
    <mergeCell ref="B141:C141"/>
    <mergeCell ref="B66:C66"/>
    <mergeCell ref="B93:C93"/>
    <mergeCell ref="B56:C56"/>
    <mergeCell ref="B27:C27"/>
    <mergeCell ref="B140:C140"/>
    <mergeCell ref="B39:C39"/>
    <mergeCell ref="B11:C11"/>
    <mergeCell ref="B120:C120"/>
    <mergeCell ref="B117:C117"/>
    <mergeCell ref="B67:C67"/>
    <mergeCell ref="B111:C111"/>
    <mergeCell ref="B42:C42"/>
    <mergeCell ref="B101:C101"/>
    <mergeCell ref="B17:C17"/>
    <mergeCell ref="B57:C57"/>
    <mergeCell ref="B148:C148"/>
    <mergeCell ref="B82:C82"/>
    <mergeCell ref="B119:C119"/>
    <mergeCell ref="B13:C13"/>
    <mergeCell ref="A1:D1"/>
    <mergeCell ref="B44:C44"/>
    <mergeCell ref="B38:C38"/>
    <mergeCell ref="B19:C19"/>
    <mergeCell ref="B41:C41"/>
    <mergeCell ref="B128:C128"/>
    <mergeCell ref="B108:C108"/>
    <mergeCell ref="B9:C9"/>
    <mergeCell ref="B49:C49"/>
    <mergeCell ref="B83:C83"/>
    <mergeCell ref="B143:C143"/>
    <mergeCell ref="B6:C6"/>
    <mergeCell ref="B15:C15"/>
    <mergeCell ref="B80:C80"/>
    <mergeCell ref="A3:D3"/>
    <mergeCell ref="B94:C94"/>
    <mergeCell ref="A2:D2"/>
    <mergeCell ref="B79:C79"/>
    <mergeCell ref="B126:C126"/>
  </mergeCell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sheetPr>
    <tabColor rgb="00375623"/>
    <outlinePr summaryBelow="1" summaryRight="1"/>
    <pageSetUpPr/>
  </sheetPr>
  <dimension ref="A1:AK149"/>
  <sheetViews>
    <sheetView showGridLines="0" zoomScale="115" zoomScaleNormal="115" workbookViewId="0">
      <pane xSplit="6" ySplit="4" topLeftCell="G124" activePane="bottomRight" state="frozen"/>
      <selection pane="topRight" activeCell="G1" sqref="G1"/>
      <selection pane="bottomLeft" activeCell="A5" sqref="A5"/>
      <selection pane="bottomRight" activeCell="S139" sqref="S139"/>
    </sheetView>
  </sheetViews>
  <sheetFormatPr baseColWidth="10" defaultColWidth="11.42578125" defaultRowHeight="11.25"/>
  <cols>
    <col width="47" customWidth="1" style="641" min="1" max="1"/>
    <col width="47" customWidth="1" style="641" min="2" max="2"/>
    <col width="10" customWidth="1" style="641" min="3" max="3"/>
    <col width="47" customWidth="1" style="641" min="4" max="4"/>
    <col width="17" customWidth="1" style="641" min="5" max="5"/>
    <col width="17" customWidth="1" style="641" min="6" max="6"/>
    <col width="10" customWidth="1" style="641" min="7" max="7"/>
    <col width="21" customWidth="1" style="641" min="8" max="8"/>
    <col width="21" customWidth="1" style="641" min="9" max="9"/>
    <col width="21" customWidth="1" style="641" min="10" max="10"/>
    <col width="21" customWidth="1" style="641" min="11" max="11"/>
    <col width="21" customWidth="1" style="641" min="12" max="12"/>
    <col width="21" customWidth="1" style="641" min="13" max="13"/>
    <col width="21" customWidth="1" style="641" min="14" max="14"/>
    <col width="21" customWidth="1" style="641" min="15" max="15"/>
    <col width="21" bestFit="1" customWidth="1" style="641" min="16" max="17"/>
    <col width="21" customWidth="1" style="549" min="17" max="17"/>
    <col width="21" customWidth="1" style="641" min="18" max="19"/>
    <col width="21" customWidth="1" style="549" min="19" max="19"/>
    <col width="15" customWidth="1" style="641" min="20" max="20"/>
    <col width="10" customWidth="1" style="641" min="21" max="21"/>
    <col width="21" customWidth="1" style="22" min="22" max="22"/>
    <col width="21" customWidth="1" style="641" min="23" max="23"/>
    <col width="21" customWidth="1" style="641" min="24" max="26"/>
    <col width="21" customWidth="1" style="549" min="25" max="25"/>
    <col width="21" customWidth="1" style="549" min="26" max="26"/>
    <col width="21" customWidth="1" style="641" min="27" max="27"/>
    <col width="21" customWidth="1" style="641" min="28" max="28"/>
    <col width="21" customWidth="1" style="641" min="29" max="29"/>
    <col width="21" customWidth="1" style="641" min="30" max="30"/>
    <col width="21" customWidth="1" style="641" min="31" max="31"/>
    <col width="21" customWidth="1" style="641" min="32" max="32"/>
    <col width="21" customWidth="1" style="641" min="33" max="33"/>
    <col width="16" customWidth="1" style="641" min="34" max="34"/>
    <col width="10" customWidth="1" style="641" min="35" max="35"/>
    <col width="16" customWidth="1" style="641" min="36" max="36"/>
    <col width="10" customWidth="1" style="641" min="37" max="37"/>
    <col width="11.42578125" customWidth="1" style="641" min="38" max="39"/>
    <col width="11.42578125" customWidth="1" style="641" min="40" max="16384"/>
  </cols>
  <sheetData>
    <row r="1" ht="20" customHeight="1" s="549">
      <c r="A1" s="746" t="inlineStr">
        <is>
          <t>FLUJO NETO (PRECIOS NETO SIN IVA) — LUZ EN CASA · GORE COQUIMBO</t>
        </is>
      </c>
    </row>
    <row r="2"/>
    <row r="3" ht="11.25" customHeight="1" s="549"/>
    <row r="4" ht="24" customHeight="1" s="549">
      <c r="A4" s="747" t="n"/>
      <c r="B4" s="747" t="n"/>
      <c r="C4" s="747" t="n"/>
      <c r="D4" s="747" t="inlineStr">
        <is>
          <t xml:space="preserve">PRECIOS NETO </t>
        </is>
      </c>
      <c r="E4" s="747" t="n"/>
      <c r="F4" s="747" t="n"/>
      <c r="G4" s="747" t="n"/>
      <c r="H4" s="747" t="n"/>
      <c r="I4" s="747" t="n"/>
      <c r="J4" s="747" t="n"/>
      <c r="K4" s="747" t="n"/>
      <c r="L4" s="747" t="n"/>
      <c r="M4" s="747" t="n"/>
      <c r="N4" s="747" t="n"/>
      <c r="O4" s="747" t="n"/>
      <c r="P4" s="747" t="inlineStr">
        <is>
          <t>Voluntariado</t>
        </is>
      </c>
      <c r="Q4" s="747" t="inlineStr">
        <is>
          <t>Voluntariado</t>
        </is>
      </c>
      <c r="R4" s="747" t="inlineStr">
        <is>
          <t>Voluntariado</t>
        </is>
      </c>
      <c r="S4" s="747" t="n"/>
      <c r="T4" s="747" t="n"/>
      <c r="U4" s="747" t="n"/>
      <c r="V4" s="747" t="n"/>
      <c r="W4" s="747" t="n"/>
      <c r="X4" s="747" t="n"/>
      <c r="Y4" s="747" t="n"/>
      <c r="Z4" s="747" t="n"/>
      <c r="AA4" s="747" t="n"/>
      <c r="AB4" s="747" t="n"/>
      <c r="AC4" s="747" t="n"/>
      <c r="AD4" s="747" t="n"/>
      <c r="AE4" s="747" t="n"/>
      <c r="AF4" s="747" t="n"/>
      <c r="AG4" s="747" t="n"/>
      <c r="AH4" s="747" t="n"/>
      <c r="AI4" s="747" t="n"/>
      <c r="AJ4" s="747" t="n"/>
      <c r="AK4" s="747" t="n"/>
    </row>
    <row r="5" ht="14" customHeight="1" s="549">
      <c r="A5" s="681" t="inlineStr">
        <is>
          <t>Fuente: Minuta de Proyecto + Minuta Técnica de Proyecto</t>
        </is>
      </c>
      <c r="B5" s="681" t="inlineStr">
        <is>
          <t>Forma pago</t>
        </is>
      </c>
      <c r="C5" s="689" t="inlineStr">
        <is>
          <t>Nivel</t>
        </is>
      </c>
      <c r="D5" s="688" t="inlineStr">
        <is>
          <t>Item</t>
        </is>
      </c>
      <c r="E5" s="688" t="inlineStr">
        <is>
          <t>NETO</t>
        </is>
      </c>
      <c r="F5" s="688" t="n"/>
      <c r="G5" s="681" t="n"/>
      <c r="H5" s="777" t="n">
        <v>46023</v>
      </c>
      <c r="I5" s="777" t="n">
        <v>46054</v>
      </c>
      <c r="J5" s="777" t="n">
        <v>46082</v>
      </c>
      <c r="K5" s="777" t="n">
        <v>46113</v>
      </c>
      <c r="L5" s="777" t="n">
        <v>46143</v>
      </c>
      <c r="M5" s="777" t="n">
        <v>46174</v>
      </c>
      <c r="N5" s="777" t="n">
        <v>46204</v>
      </c>
      <c r="O5" s="777" t="n">
        <v>46235</v>
      </c>
      <c r="P5" s="777" t="n">
        <v>46266</v>
      </c>
      <c r="Q5" s="777" t="n">
        <v>46296</v>
      </c>
      <c r="R5" s="777" t="n">
        <v>46327</v>
      </c>
      <c r="S5" s="777" t="n">
        <v>46357</v>
      </c>
      <c r="T5" s="778" t="n">
        <v>2026</v>
      </c>
      <c r="U5" s="681" t="n"/>
      <c r="V5" s="777" t="n">
        <v>46388</v>
      </c>
      <c r="W5" s="777" t="n">
        <v>46419</v>
      </c>
      <c r="X5" s="777" t="n">
        <v>46447</v>
      </c>
      <c r="Y5" s="777" t="n">
        <v>46478</v>
      </c>
      <c r="Z5" s="777" t="n">
        <v>46508</v>
      </c>
      <c r="AA5" s="777" t="n">
        <v>46539</v>
      </c>
      <c r="AB5" s="777" t="n">
        <v>46569</v>
      </c>
      <c r="AC5" s="777" t="n">
        <v>46600</v>
      </c>
      <c r="AD5" s="777" t="n">
        <v>46631</v>
      </c>
      <c r="AE5" s="777" t="n">
        <v>46661</v>
      </c>
      <c r="AF5" s="777" t="n">
        <v>46692</v>
      </c>
      <c r="AG5" s="777" t="n">
        <v>46722</v>
      </c>
      <c r="AH5" s="778" t="n">
        <v>2027</v>
      </c>
      <c r="AI5" s="681" t="n"/>
      <c r="AJ5" s="779" t="inlineStr">
        <is>
          <t>TOTAL</t>
        </is>
      </c>
      <c r="AK5" s="681" t="n"/>
    </row>
    <row r="6" ht="14" customHeight="1" s="549">
      <c r="A6" s="686" t="n"/>
      <c r="B6" s="686" t="n"/>
      <c r="C6" s="771" t="n">
        <v>1</v>
      </c>
      <c r="D6" s="682" t="inlineStr">
        <is>
          <t>Compras activables ZIMPERTEC</t>
        </is>
      </c>
      <c r="E6" s="780">
        <f>+Supuestos!E8</f>
        <v/>
      </c>
      <c r="F6" s="682">
        <f>+F76</f>
        <v/>
      </c>
      <c r="G6" s="686" t="n"/>
      <c r="H6" s="781">
        <f>+SUM(H6:H13)</f>
        <v/>
      </c>
      <c r="I6" s="781">
        <f>+SUM(I6:I13)</f>
        <v/>
      </c>
      <c r="J6" s="781">
        <f>+SUM(J6:J13)</f>
        <v/>
      </c>
      <c r="K6" s="781">
        <f>+SUM(K6:K13)</f>
        <v/>
      </c>
      <c r="L6" s="781">
        <f>+SUM(L6:L13)</f>
        <v/>
      </c>
      <c r="M6" s="781">
        <f>+SUM(M6:M13)</f>
        <v/>
      </c>
      <c r="N6" s="781">
        <f>+SUM(N6:N13)</f>
        <v/>
      </c>
      <c r="O6" s="781">
        <f>+SUM(O6:O13)</f>
        <v/>
      </c>
      <c r="P6" s="781">
        <f>+SUM(P6:P13)</f>
        <v/>
      </c>
      <c r="Q6" s="781">
        <f>+SUM(Q6:Q13)</f>
        <v/>
      </c>
      <c r="R6" s="781">
        <f>+SUM(R6:R13)</f>
        <v/>
      </c>
      <c r="S6" s="781">
        <f>+SUM(S6:S13)</f>
        <v/>
      </c>
      <c r="T6" s="782">
        <f>SUM(H5:S5)</f>
        <v/>
      </c>
      <c r="U6" s="686" t="n"/>
      <c r="V6" s="781">
        <f>+SUM(V6:V13)</f>
        <v/>
      </c>
      <c r="W6" s="781">
        <f>+SUM(W6:W13)</f>
        <v/>
      </c>
      <c r="X6" s="781">
        <f>+SUM(X6:X13)</f>
        <v/>
      </c>
      <c r="Y6" s="781">
        <f>+SUM(Y6:Y13)</f>
        <v/>
      </c>
      <c r="Z6" s="781">
        <f>+SUM(Z6:Z13)</f>
        <v/>
      </c>
      <c r="AA6" s="781">
        <f>+SUM(AA6:AA13)</f>
        <v/>
      </c>
      <c r="AB6" s="781">
        <f>+SUM(AB6:AB13)</f>
        <v/>
      </c>
      <c r="AC6" s="781">
        <f>+SUM(AC6:AC13)</f>
        <v/>
      </c>
      <c r="AD6" s="781">
        <f>+SUM(AD6:AD13)</f>
        <v/>
      </c>
      <c r="AE6" s="781">
        <f>+SUM(AE6:AE13)</f>
        <v/>
      </c>
      <c r="AF6" s="781">
        <f>+SUM(AF6:AF13)</f>
        <v/>
      </c>
      <c r="AG6" s="781">
        <f>+SUM(AG6:AG13)</f>
        <v/>
      </c>
      <c r="AH6" s="782">
        <f>SUM(V5:AG5)</f>
        <v/>
      </c>
      <c r="AI6" s="686" t="n"/>
      <c r="AJ6" s="782">
        <f>+AH5+T5</f>
        <v/>
      </c>
      <c r="AK6" s="686" t="n"/>
    </row>
    <row r="7" ht="14" customHeight="1" s="549">
      <c r="A7" s="681" t="n"/>
      <c r="B7" s="681" t="inlineStr">
        <is>
          <t>Factura</t>
        </is>
      </c>
      <c r="C7" s="783" t="inlineStr">
        <is>
          <t>1.1</t>
        </is>
      </c>
      <c r="D7" s="784" t="inlineStr">
        <is>
          <t>Sistemas AC</t>
        </is>
      </c>
      <c r="E7" s="785">
        <f>+Supuestos!E9</f>
        <v/>
      </c>
      <c r="F7" s="786">
        <f>+F77</f>
        <v/>
      </c>
      <c r="G7" s="681" t="n"/>
      <c r="H7" s="787">
        <f>+$E6*H77</f>
        <v/>
      </c>
      <c r="I7" s="787">
        <f>+$E6*I77</f>
        <v/>
      </c>
      <c r="J7" s="787">
        <f>+$E6*J77</f>
        <v/>
      </c>
      <c r="K7" s="787">
        <f>+$E6*K77</f>
        <v/>
      </c>
      <c r="L7" s="787">
        <f>+$E6*L77</f>
        <v/>
      </c>
      <c r="M7" s="787">
        <f>+$E6*M77</f>
        <v/>
      </c>
      <c r="N7" s="787">
        <f>+$E6*N77</f>
        <v/>
      </c>
      <c r="O7" s="787">
        <f>+$E6*O77</f>
        <v/>
      </c>
      <c r="P7" s="787">
        <f>+$E6*P77</f>
        <v/>
      </c>
      <c r="Q7" s="787">
        <f>+$E6*Q77</f>
        <v/>
      </c>
      <c r="R7" s="787">
        <f>+$E6*R77</f>
        <v/>
      </c>
      <c r="S7" s="787">
        <f>+$E6*S77</f>
        <v/>
      </c>
      <c r="T7" s="787" t="n"/>
      <c r="U7" s="681" t="n"/>
      <c r="V7" s="787">
        <f>+$E6*V77</f>
        <v/>
      </c>
      <c r="W7" s="787">
        <f>+$E6*W77</f>
        <v/>
      </c>
      <c r="X7" s="787">
        <f>+$E6*X77</f>
        <v/>
      </c>
      <c r="Y7" s="787">
        <f>+$E6*Y77</f>
        <v/>
      </c>
      <c r="Z7" s="787">
        <f>+$E6*Z77</f>
        <v/>
      </c>
      <c r="AA7" s="787">
        <f>+$E6*AA77</f>
        <v/>
      </c>
      <c r="AB7" s="787">
        <f>+$E6*AB77</f>
        <v/>
      </c>
      <c r="AC7" s="787">
        <f>+$E6*AC77</f>
        <v/>
      </c>
      <c r="AD7" s="787">
        <f>+$E6*AD77</f>
        <v/>
      </c>
      <c r="AE7" s="787">
        <f>+$E6*AE77</f>
        <v/>
      </c>
      <c r="AF7" s="787">
        <f>+$E6*AF77</f>
        <v/>
      </c>
      <c r="AG7" s="787">
        <f>+$E6*AG77</f>
        <v/>
      </c>
      <c r="AH7" s="787" t="n"/>
      <c r="AI7" s="681" t="n"/>
      <c r="AJ7" s="787" t="n"/>
      <c r="AK7" s="681" t="n"/>
    </row>
    <row r="8" ht="14" customHeight="1" s="549">
      <c r="A8" s="686" t="n"/>
      <c r="B8" s="686" t="inlineStr">
        <is>
          <t>Factura</t>
        </is>
      </c>
      <c r="C8" s="788" t="inlineStr">
        <is>
          <t>1.2</t>
        </is>
      </c>
      <c r="D8" s="789" t="inlineStr">
        <is>
          <t xml:space="preserve">Paneles </t>
        </is>
      </c>
      <c r="E8" s="790">
        <f>+Supuestos!E10</f>
        <v/>
      </c>
      <c r="F8" s="791">
        <f>+F78</f>
        <v/>
      </c>
      <c r="G8" s="686" t="n"/>
      <c r="H8" s="782">
        <f>+$E7*H78</f>
        <v/>
      </c>
      <c r="I8" s="782">
        <f>+$E7*I78</f>
        <v/>
      </c>
      <c r="J8" s="782">
        <f>+$E7*J78</f>
        <v/>
      </c>
      <c r="K8" s="782">
        <f>+$E7*K78</f>
        <v/>
      </c>
      <c r="L8" s="782">
        <f>+$E7*L78</f>
        <v/>
      </c>
      <c r="M8" s="782">
        <f>+$E7*M78</f>
        <v/>
      </c>
      <c r="N8" s="782">
        <f>+$E7*N78</f>
        <v/>
      </c>
      <c r="O8" s="782">
        <f>+$E7*O78</f>
        <v/>
      </c>
      <c r="P8" s="782">
        <f>+$E7*P78</f>
        <v/>
      </c>
      <c r="Q8" s="782">
        <f>+$E7*Q78</f>
        <v/>
      </c>
      <c r="R8" s="782">
        <f>+$E7*R78</f>
        <v/>
      </c>
      <c r="S8" s="782">
        <f>+$E7*S78</f>
        <v/>
      </c>
      <c r="T8" s="782" t="n"/>
      <c r="U8" s="686" t="n"/>
      <c r="V8" s="782">
        <f>+$E7*V78</f>
        <v/>
      </c>
      <c r="W8" s="782">
        <f>+$E7*W78</f>
        <v/>
      </c>
      <c r="X8" s="782">
        <f>+$E7*X78</f>
        <v/>
      </c>
      <c r="Y8" s="782">
        <f>+$E7*Y78</f>
        <v/>
      </c>
      <c r="Z8" s="782">
        <f>+$E7*Z78</f>
        <v/>
      </c>
      <c r="AA8" s="782">
        <f>+$E7*AA78</f>
        <v/>
      </c>
      <c r="AB8" s="782">
        <f>+$E7*AB78</f>
        <v/>
      </c>
      <c r="AC8" s="782">
        <f>+$E7*AC78</f>
        <v/>
      </c>
      <c r="AD8" s="782">
        <f>+$E7*AD78</f>
        <v/>
      </c>
      <c r="AE8" s="782">
        <f>+$E7*AE78</f>
        <v/>
      </c>
      <c r="AF8" s="782">
        <f>+$E7*AF78</f>
        <v/>
      </c>
      <c r="AG8" s="782">
        <f>+$E7*AG78</f>
        <v/>
      </c>
      <c r="AH8" s="782" t="n"/>
      <c r="AI8" s="686" t="n"/>
      <c r="AJ8" s="782" t="n"/>
      <c r="AK8" s="686" t="n"/>
    </row>
    <row r="9" ht="14" customHeight="1" s="549">
      <c r="A9" s="681" t="n"/>
      <c r="B9" s="681" t="inlineStr">
        <is>
          <t>Factura</t>
        </is>
      </c>
      <c r="C9" s="783" t="inlineStr">
        <is>
          <t>1.3</t>
        </is>
      </c>
      <c r="D9" s="784" t="inlineStr">
        <is>
          <t>Lamparas</t>
        </is>
      </c>
      <c r="E9" s="785">
        <f>+Supuestos!E11</f>
        <v/>
      </c>
      <c r="F9" s="786">
        <f>+F79</f>
        <v/>
      </c>
      <c r="G9" s="681" t="n"/>
      <c r="H9" s="787">
        <f>+$E8*H79</f>
        <v/>
      </c>
      <c r="I9" s="787">
        <f>+$E8*I79</f>
        <v/>
      </c>
      <c r="J9" s="787">
        <f>+$E8*J79</f>
        <v/>
      </c>
      <c r="K9" s="787">
        <f>+$E8*K79</f>
        <v/>
      </c>
      <c r="L9" s="787">
        <f>+$E8*L79</f>
        <v/>
      </c>
      <c r="M9" s="787">
        <f>+$E8*M79</f>
        <v/>
      </c>
      <c r="N9" s="787">
        <f>+$E8*N79</f>
        <v/>
      </c>
      <c r="O9" s="787">
        <f>+$E8*O79</f>
        <v/>
      </c>
      <c r="P9" s="787">
        <f>+$E8*P79</f>
        <v/>
      </c>
      <c r="Q9" s="787">
        <f>+$E8*Q79</f>
        <v/>
      </c>
      <c r="R9" s="787">
        <f>+$E8*R79</f>
        <v/>
      </c>
      <c r="S9" s="787">
        <f>+$E8*S79</f>
        <v/>
      </c>
      <c r="T9" s="787" t="n"/>
      <c r="U9" s="681" t="n"/>
      <c r="V9" s="787">
        <f>+$E8*V79</f>
        <v/>
      </c>
      <c r="W9" s="787">
        <f>+$E8*W79</f>
        <v/>
      </c>
      <c r="X9" s="787">
        <f>+$E8*X79</f>
        <v/>
      </c>
      <c r="Y9" s="787">
        <f>+$E8*Y79</f>
        <v/>
      </c>
      <c r="Z9" s="787">
        <f>+$E8*Z79</f>
        <v/>
      </c>
      <c r="AA9" s="787">
        <f>+$E8*AA79</f>
        <v/>
      </c>
      <c r="AB9" s="787">
        <f>+$E8*AB79</f>
        <v/>
      </c>
      <c r="AC9" s="787">
        <f>+$E8*AC79</f>
        <v/>
      </c>
      <c r="AD9" s="787">
        <f>+$E8*AD79</f>
        <v/>
      </c>
      <c r="AE9" s="787">
        <f>+$E8*AE79</f>
        <v/>
      </c>
      <c r="AF9" s="787">
        <f>+$E8*AF79</f>
        <v/>
      </c>
      <c r="AG9" s="787">
        <f>+$E8*AG79</f>
        <v/>
      </c>
      <c r="AH9" s="787" t="n"/>
      <c r="AI9" s="681" t="n"/>
      <c r="AJ9" s="787" t="n"/>
      <c r="AK9" s="681" t="n"/>
    </row>
    <row r="10" ht="14" customHeight="1" s="549">
      <c r="A10" s="686" t="n"/>
      <c r="B10" s="686" t="inlineStr">
        <is>
          <t>El programa se implementa por primera vez en Chile en 2021, con un proyecto piloto en Caleta Maitencillo, en la Región de Coquimbo. Esta comunidad de pescadores carecía de electricidad o dependía de generadores costosos y de uso limitado. El piloto introdujo un modelo de provisión de servicio adaptado al contexto chileno, incorporando sistemas fotovoltaicos domiciliarios con operación en energía continua como alterna, capaces de alimentar electrodomésticos como refrigeradores.</t>
        </is>
      </c>
      <c r="C10" s="788" t="inlineStr">
        <is>
          <t>1.4</t>
        </is>
      </c>
      <c r="D10" s="789" t="inlineStr">
        <is>
          <t>Hardware Monitoreo</t>
        </is>
      </c>
      <c r="E10" s="790">
        <f>+Supuestos!E12</f>
        <v/>
      </c>
      <c r="F10" s="791">
        <f>+F80</f>
        <v/>
      </c>
      <c r="G10" s="686" t="n"/>
      <c r="H10" s="782">
        <f>+$E9*H80</f>
        <v/>
      </c>
      <c r="I10" s="782">
        <f>+$E9*I80</f>
        <v/>
      </c>
      <c r="J10" s="782">
        <f>+$E9*J80</f>
        <v/>
      </c>
      <c r="K10" s="782">
        <f>+$E9*K80</f>
        <v/>
      </c>
      <c r="L10" s="782">
        <f>+$E9*L80</f>
        <v/>
      </c>
      <c r="M10" s="782">
        <f>+$E9*M80</f>
        <v/>
      </c>
      <c r="N10" s="782">
        <f>+$E9*N80</f>
        <v/>
      </c>
      <c r="O10" s="782">
        <f>+$E9*O80</f>
        <v/>
      </c>
      <c r="P10" s="782">
        <f>+$E9*P80</f>
        <v/>
      </c>
      <c r="Q10" s="782">
        <f>+$E9*Q80</f>
        <v/>
      </c>
      <c r="R10" s="782">
        <f>+$E9*R80</f>
        <v/>
      </c>
      <c r="S10" s="782">
        <f>+$E9*S80</f>
        <v/>
      </c>
      <c r="T10" s="782" t="n"/>
      <c r="U10" s="686" t="n"/>
      <c r="V10" s="782">
        <f>+$E9*V80</f>
        <v/>
      </c>
      <c r="W10" s="782">
        <f>+$E9*W80</f>
        <v/>
      </c>
      <c r="X10" s="782">
        <f>+$E9*X80</f>
        <v/>
      </c>
      <c r="Y10" s="782">
        <f>+$E9*Y80</f>
        <v/>
      </c>
      <c r="Z10" s="782">
        <f>+$E9*Z80</f>
        <v/>
      </c>
      <c r="AA10" s="782">
        <f>+$E9*AA80</f>
        <v/>
      </c>
      <c r="AB10" s="782">
        <f>+$E9*AB80</f>
        <v/>
      </c>
      <c r="AC10" s="782">
        <f>+$E9*AC80</f>
        <v/>
      </c>
      <c r="AD10" s="782">
        <f>+$E9*AD80</f>
        <v/>
      </c>
      <c r="AE10" s="782">
        <f>+$E9*AE80</f>
        <v/>
      </c>
      <c r="AF10" s="782">
        <f>+$E9*AF80</f>
        <v/>
      </c>
      <c r="AG10" s="782">
        <f>+$E9*AG80</f>
        <v/>
      </c>
      <c r="AH10" s="782" t="n"/>
      <c r="AI10" s="686" t="n"/>
      <c r="AJ10" s="782" t="n"/>
      <c r="AK10" s="686" t="n"/>
    </row>
    <row r="11" ht="14" customHeight="1" s="549">
      <c r="A11" s="681" t="n"/>
      <c r="B11" s="681" t="inlineStr">
        <is>
          <t>Factura</t>
        </is>
      </c>
      <c r="C11" s="783" t="inlineStr">
        <is>
          <t>1.5</t>
        </is>
      </c>
      <c r="D11" s="784" t="inlineStr">
        <is>
          <t>Software Monitoreo</t>
        </is>
      </c>
      <c r="E11" s="785">
        <f>+Supuestos!E13</f>
        <v/>
      </c>
      <c r="F11" s="786">
        <f>+F81</f>
        <v/>
      </c>
      <c r="G11" s="681" t="n"/>
      <c r="H11" s="787">
        <f>+$E10*H81</f>
        <v/>
      </c>
      <c r="I11" s="787">
        <f>+$E10*I81</f>
        <v/>
      </c>
      <c r="J11" s="787">
        <f>+$E10*J81</f>
        <v/>
      </c>
      <c r="K11" s="787">
        <f>+$E10*K81</f>
        <v/>
      </c>
      <c r="L11" s="787">
        <f>+$E10*L81</f>
        <v/>
      </c>
      <c r="M11" s="787">
        <f>+$E10*M81</f>
        <v/>
      </c>
      <c r="N11" s="787">
        <f>+$E10*N81</f>
        <v/>
      </c>
      <c r="O11" s="787">
        <f>+$E10*O81</f>
        <v/>
      </c>
      <c r="P11" s="787">
        <f>+$E10*P81</f>
        <v/>
      </c>
      <c r="Q11" s="787">
        <f>+$E10*Q81</f>
        <v/>
      </c>
      <c r="R11" s="787">
        <f>+$E10*R81</f>
        <v/>
      </c>
      <c r="S11" s="787">
        <f>+$E10*S81</f>
        <v/>
      </c>
      <c r="T11" s="787" t="n"/>
      <c r="U11" s="681" t="n"/>
      <c r="V11" s="787">
        <f>+$E10*V81</f>
        <v/>
      </c>
      <c r="W11" s="787">
        <f>+$E10*W81</f>
        <v/>
      </c>
      <c r="X11" s="787">
        <f>+$E10*X81</f>
        <v/>
      </c>
      <c r="Y11" s="787">
        <f>+$E10*Y81</f>
        <v/>
      </c>
      <c r="Z11" s="787">
        <f>+$E10*Z81</f>
        <v/>
      </c>
      <c r="AA11" s="787">
        <f>+$E10*AA81</f>
        <v/>
      </c>
      <c r="AB11" s="787">
        <f>+$E10*AB81</f>
        <v/>
      </c>
      <c r="AC11" s="787">
        <f>+$E10*AC81</f>
        <v/>
      </c>
      <c r="AD11" s="787">
        <f>+$E10*AD81</f>
        <v/>
      </c>
      <c r="AE11" s="787">
        <f>+$E10*AE81</f>
        <v/>
      </c>
      <c r="AF11" s="787">
        <f>+$E10*AF81</f>
        <v/>
      </c>
      <c r="AG11" s="787">
        <f>+$E10*AG81</f>
        <v/>
      </c>
      <c r="AH11" s="787" t="n"/>
      <c r="AI11" s="681" t="n"/>
      <c r="AJ11" s="787" t="n"/>
      <c r="AK11" s="681" t="n"/>
    </row>
    <row r="12" ht="14" customHeight="1" s="549">
      <c r="A12" s="686" t="n"/>
      <c r="B12" s="686" t="inlineStr">
        <is>
          <t>Factura</t>
        </is>
      </c>
      <c r="C12" s="788" t="inlineStr">
        <is>
          <t>1.6</t>
        </is>
      </c>
      <c r="D12" s="789" t="inlineStr">
        <is>
          <t>Repuestos</t>
        </is>
      </c>
      <c r="E12" s="790">
        <f>+Supuestos!E14</f>
        <v/>
      </c>
      <c r="F12" s="791">
        <f>+F82</f>
        <v/>
      </c>
      <c r="G12" s="686" t="n"/>
      <c r="H12" s="782">
        <f>+$E11*H82</f>
        <v/>
      </c>
      <c r="I12" s="782">
        <f>+$E11*I82</f>
        <v/>
      </c>
      <c r="J12" s="782">
        <f>+$E11*J82</f>
        <v/>
      </c>
      <c r="K12" s="782">
        <f>+$E11*K82</f>
        <v/>
      </c>
      <c r="L12" s="782">
        <f>+$E11*L82</f>
        <v/>
      </c>
      <c r="M12" s="782">
        <f>+$E11*M82</f>
        <v/>
      </c>
      <c r="N12" s="782">
        <f>+$E11*N82</f>
        <v/>
      </c>
      <c r="O12" s="782">
        <f>+$E11*O82</f>
        <v/>
      </c>
      <c r="P12" s="782">
        <f>+$E11*P82</f>
        <v/>
      </c>
      <c r="Q12" s="782">
        <f>+$E11*Q82</f>
        <v/>
      </c>
      <c r="R12" s="782">
        <f>+$E11*R82</f>
        <v/>
      </c>
      <c r="S12" s="782">
        <f>+$E11*S82</f>
        <v/>
      </c>
      <c r="T12" s="782" t="n"/>
      <c r="U12" s="686" t="n"/>
      <c r="V12" s="782">
        <f>+$E11*V82</f>
        <v/>
      </c>
      <c r="W12" s="782">
        <f>+$E11*W82</f>
        <v/>
      </c>
      <c r="X12" s="782">
        <f>+$E11*X82</f>
        <v/>
      </c>
      <c r="Y12" s="782">
        <f>+$E11*Y82</f>
        <v/>
      </c>
      <c r="Z12" s="782">
        <f>+$E11*Z82</f>
        <v/>
      </c>
      <c r="AA12" s="782">
        <f>+$E11*AA82</f>
        <v/>
      </c>
      <c r="AB12" s="782">
        <f>+$E11*AB82</f>
        <v/>
      </c>
      <c r="AC12" s="782">
        <f>+$E11*AC82</f>
        <v/>
      </c>
      <c r="AD12" s="782">
        <f>+$E11*AD82</f>
        <v/>
      </c>
      <c r="AE12" s="782">
        <f>+$E11*AE82</f>
        <v/>
      </c>
      <c r="AF12" s="782">
        <f>+$E11*AF82</f>
        <v/>
      </c>
      <c r="AG12" s="782">
        <f>+$E11*AG82</f>
        <v/>
      </c>
      <c r="AH12" s="782" t="n"/>
      <c r="AI12" s="686" t="n"/>
      <c r="AJ12" s="782" t="n"/>
      <c r="AK12" s="686" t="n"/>
    </row>
    <row r="13" ht="14" customHeight="1" s="549">
      <c r="A13" s="681" t="n"/>
      <c r="B13" s="681" t="inlineStr">
        <is>
          <t>Factura</t>
        </is>
      </c>
      <c r="C13" s="783" t="inlineStr">
        <is>
          <t>1.7</t>
        </is>
      </c>
      <c r="D13" s="784" t="inlineStr">
        <is>
          <t>Flete</t>
        </is>
      </c>
      <c r="E13" s="785">
        <f>+Supuestos!E15</f>
        <v/>
      </c>
      <c r="F13" s="786">
        <f>+F83</f>
        <v/>
      </c>
      <c r="G13" s="681" t="n"/>
      <c r="H13" s="787">
        <f>+$E12*H83</f>
        <v/>
      </c>
      <c r="I13" s="787">
        <f>+$E12*I83</f>
        <v/>
      </c>
      <c r="J13" s="787">
        <f>+$E12*J83</f>
        <v/>
      </c>
      <c r="K13" s="787">
        <f>+$E12*K83</f>
        <v/>
      </c>
      <c r="L13" s="787">
        <f>+$E12*L83</f>
        <v/>
      </c>
      <c r="M13" s="787">
        <f>+$E12*M83</f>
        <v/>
      </c>
      <c r="N13" s="787">
        <f>+$E12*N83</f>
        <v/>
      </c>
      <c r="O13" s="787">
        <f>+$E12*O83</f>
        <v/>
      </c>
      <c r="P13" s="787">
        <f>+$E12*P83</f>
        <v/>
      </c>
      <c r="Q13" s="787">
        <f>+$E12*Q83</f>
        <v/>
      </c>
      <c r="R13" s="787">
        <f>+$E12*R83</f>
        <v/>
      </c>
      <c r="S13" s="787">
        <f>+$E12*S83</f>
        <v/>
      </c>
      <c r="T13" s="787" t="n"/>
      <c r="U13" s="681" t="n"/>
      <c r="V13" s="787">
        <f>+$E12*V83</f>
        <v/>
      </c>
      <c r="W13" s="787">
        <f>+$E12*W83</f>
        <v/>
      </c>
      <c r="X13" s="787">
        <f>+$E12*X83</f>
        <v/>
      </c>
      <c r="Y13" s="787">
        <f>+$E12*Y83</f>
        <v/>
      </c>
      <c r="Z13" s="787">
        <f>+$E12*Z83</f>
        <v/>
      </c>
      <c r="AA13" s="787">
        <f>+$E12*AA83</f>
        <v/>
      </c>
      <c r="AB13" s="787">
        <f>+$E12*AB83</f>
        <v/>
      </c>
      <c r="AC13" s="787">
        <f>+$E12*AC83</f>
        <v/>
      </c>
      <c r="AD13" s="787">
        <f>+$E12*AD83</f>
        <v/>
      </c>
      <c r="AE13" s="787">
        <f>+$E12*AE83</f>
        <v/>
      </c>
      <c r="AF13" s="787">
        <f>+$E12*AF83</f>
        <v/>
      </c>
      <c r="AG13" s="787">
        <f>+$E12*AG83</f>
        <v/>
      </c>
      <c r="AH13" s="787" t="n"/>
      <c r="AI13" s="681" t="n"/>
      <c r="AJ13" s="787" t="n"/>
      <c r="AK13" s="681" t="n"/>
    </row>
    <row r="14" ht="14" customHeight="1" s="549">
      <c r="A14" s="686" t="n"/>
      <c r="B14" s="686" t="inlineStr">
        <is>
          <t>Factura</t>
        </is>
      </c>
      <c r="C14" s="788" t="inlineStr">
        <is>
          <t>7.2</t>
        </is>
      </c>
      <c r="D14" s="789" t="inlineStr">
        <is>
          <t>Transporte DESCONSOLIDADO</t>
        </is>
      </c>
      <c r="E14" s="790">
        <f>+Supuestos!E16</f>
        <v/>
      </c>
      <c r="F14" s="789">
        <f>+F84</f>
        <v/>
      </c>
      <c r="G14" s="686" t="n"/>
      <c r="H14" s="782">
        <f>+$E13*H84</f>
        <v/>
      </c>
      <c r="I14" s="782">
        <f>+$E13*I84</f>
        <v/>
      </c>
      <c r="J14" s="782">
        <f>+$E13*J84</f>
        <v/>
      </c>
      <c r="K14" s="782">
        <f>+$E13*K84</f>
        <v/>
      </c>
      <c r="L14" s="782">
        <f>+$E13*L84</f>
        <v/>
      </c>
      <c r="M14" s="782">
        <f>+$E13*M84</f>
        <v/>
      </c>
      <c r="N14" s="782">
        <f>+$E13*N84</f>
        <v/>
      </c>
      <c r="O14" s="782">
        <f>+$E13*O84</f>
        <v/>
      </c>
      <c r="P14" s="782">
        <f>+$E13*P84</f>
        <v/>
      </c>
      <c r="Q14" s="782">
        <f>+$E13*Q84</f>
        <v/>
      </c>
      <c r="R14" s="782">
        <f>+$E13*R84</f>
        <v/>
      </c>
      <c r="S14" s="782">
        <f>+$E13*S84</f>
        <v/>
      </c>
      <c r="T14" s="782" t="n"/>
      <c r="U14" s="686" t="n"/>
      <c r="V14" s="782">
        <f>+$E13*V84</f>
        <v/>
      </c>
      <c r="W14" s="782">
        <f>+$E13*W84</f>
        <v/>
      </c>
      <c r="X14" s="782">
        <f>+$E13*X84</f>
        <v/>
      </c>
      <c r="Y14" s="782">
        <f>+$E13*Y84</f>
        <v/>
      </c>
      <c r="Z14" s="782">
        <f>+$E13*Z84</f>
        <v/>
      </c>
      <c r="AA14" s="782">
        <f>+$E13*AA84</f>
        <v/>
      </c>
      <c r="AB14" s="782">
        <f>+$E13*AB84</f>
        <v/>
      </c>
      <c r="AC14" s="782">
        <f>+$E13*AC84</f>
        <v/>
      </c>
      <c r="AD14" s="782">
        <f>+$E13*AD84</f>
        <v/>
      </c>
      <c r="AE14" s="782">
        <f>+$E13*AE84</f>
        <v/>
      </c>
      <c r="AF14" s="782">
        <f>+$E13*AF84</f>
        <v/>
      </c>
      <c r="AG14" s="782">
        <f>+$E13*AG84</f>
        <v/>
      </c>
      <c r="AH14" s="782" t="n"/>
      <c r="AI14" s="686" t="n"/>
      <c r="AJ14" s="782" t="n"/>
      <c r="AK14" s="686" t="n"/>
    </row>
    <row r="15" ht="14" customHeight="1" s="549">
      <c r="A15" s="681" t="n"/>
      <c r="B15" s="681" t="inlineStr">
        <is>
          <t>Factura</t>
        </is>
      </c>
      <c r="C15" s="783" t="inlineStr">
        <is>
          <t>7.5</t>
        </is>
      </c>
      <c r="D15" s="784" t="inlineStr">
        <is>
          <t>Grúa en Origen</t>
        </is>
      </c>
      <c r="E15" s="785">
        <f>+Supuestos!E17</f>
        <v/>
      </c>
      <c r="F15" s="784">
        <f>+F85</f>
        <v/>
      </c>
      <c r="G15" s="681" t="n"/>
      <c r="H15" s="787">
        <f>+$E14*H85</f>
        <v/>
      </c>
      <c r="I15" s="787">
        <f>+$E14*I85</f>
        <v/>
      </c>
      <c r="J15" s="787">
        <f>+$E14*J85</f>
        <v/>
      </c>
      <c r="K15" s="787">
        <f>+$E14*K85</f>
        <v/>
      </c>
      <c r="L15" s="787">
        <f>+$E14*L85</f>
        <v/>
      </c>
      <c r="M15" s="787">
        <f>+$E14*M85</f>
        <v/>
      </c>
      <c r="N15" s="787">
        <f>+$E14*N85</f>
        <v/>
      </c>
      <c r="O15" s="787">
        <f>+$E14*O85</f>
        <v/>
      </c>
      <c r="P15" s="787">
        <f>+$E14*P85</f>
        <v/>
      </c>
      <c r="Q15" s="787">
        <f>+$E14*Q85</f>
        <v/>
      </c>
      <c r="R15" s="787">
        <f>+$E14*R85</f>
        <v/>
      </c>
      <c r="S15" s="787">
        <f>+$E14*S85</f>
        <v/>
      </c>
      <c r="T15" s="787" t="n"/>
      <c r="U15" s="681" t="n"/>
      <c r="V15" s="787">
        <f>+$E14*V85</f>
        <v/>
      </c>
      <c r="W15" s="787">
        <f>+$E14*W85</f>
        <v/>
      </c>
      <c r="X15" s="787">
        <f>+$E14*X85</f>
        <v/>
      </c>
      <c r="Y15" s="787">
        <f>+$E14*Y85</f>
        <v/>
      </c>
      <c r="Z15" s="787">
        <f>+$E14*Z85</f>
        <v/>
      </c>
      <c r="AA15" s="787">
        <f>+$E14*AA85</f>
        <v/>
      </c>
      <c r="AB15" s="787">
        <f>+$E14*AB85</f>
        <v/>
      </c>
      <c r="AC15" s="787">
        <f>+$E14*AC85</f>
        <v/>
      </c>
      <c r="AD15" s="787">
        <f>+$E14*AD85</f>
        <v/>
      </c>
      <c r="AE15" s="787">
        <f>+$E14*AE85</f>
        <v/>
      </c>
      <c r="AF15" s="787">
        <f>+$E14*AF85</f>
        <v/>
      </c>
      <c r="AG15" s="787">
        <f>+$E14*AG85</f>
        <v/>
      </c>
      <c r="AH15" s="787" t="n"/>
      <c r="AI15" s="681" t="n"/>
      <c r="AJ15" s="787" t="n"/>
      <c r="AK15" s="681" t="n"/>
    </row>
    <row r="16" ht="14" customHeight="1" s="549">
      <c r="A16" s="686" t="n"/>
      <c r="B16" s="686" t="inlineStr">
        <is>
          <t>Factura</t>
        </is>
      </c>
      <c r="C16" s="788" t="inlineStr">
        <is>
          <t>7.6</t>
        </is>
      </c>
      <c r="D16" s="789" t="inlineStr">
        <is>
          <t>Grúa en Punto Destino (6 Horas)</t>
        </is>
      </c>
      <c r="E16" s="790">
        <f>+Supuestos!E18</f>
        <v/>
      </c>
      <c r="F16" s="789">
        <f>+F86</f>
        <v/>
      </c>
      <c r="G16" s="686" t="n"/>
      <c r="H16" s="782">
        <f>+$E15*H86</f>
        <v/>
      </c>
      <c r="I16" s="782">
        <f>+$E15*I86</f>
        <v/>
      </c>
      <c r="J16" s="782">
        <f>+$E15*J86</f>
        <v/>
      </c>
      <c r="K16" s="782">
        <f>+$E15*K86</f>
        <v/>
      </c>
      <c r="L16" s="782">
        <f>+$E15*L86</f>
        <v/>
      </c>
      <c r="M16" s="782">
        <f>+$E15*M86</f>
        <v/>
      </c>
      <c r="N16" s="782">
        <f>+$E15*N86</f>
        <v/>
      </c>
      <c r="O16" s="782">
        <f>+$E15*O86</f>
        <v/>
      </c>
      <c r="P16" s="782">
        <f>+$E15*P86</f>
        <v/>
      </c>
      <c r="Q16" s="782">
        <f>+$E15*Q86</f>
        <v/>
      </c>
      <c r="R16" s="782">
        <f>+$E15*R86</f>
        <v/>
      </c>
      <c r="S16" s="782">
        <f>+$E15*S86</f>
        <v/>
      </c>
      <c r="T16" s="782" t="n"/>
      <c r="U16" s="686" t="n"/>
      <c r="V16" s="782">
        <f>+$E15*V86</f>
        <v/>
      </c>
      <c r="W16" s="782">
        <f>+$E15*W86</f>
        <v/>
      </c>
      <c r="X16" s="782">
        <f>+$E15*X86</f>
        <v/>
      </c>
      <c r="Y16" s="782">
        <f>+$E15*Y86</f>
        <v/>
      </c>
      <c r="Z16" s="782">
        <f>+$E15*Z86</f>
        <v/>
      </c>
      <c r="AA16" s="782">
        <f>+$E15*AA86</f>
        <v/>
      </c>
      <c r="AB16" s="782">
        <f>+$E15*AB86</f>
        <v/>
      </c>
      <c r="AC16" s="782">
        <f>+$E15*AC86</f>
        <v/>
      </c>
      <c r="AD16" s="782">
        <f>+$E15*AD86</f>
        <v/>
      </c>
      <c r="AE16" s="782">
        <f>+$E15*AE86</f>
        <v/>
      </c>
      <c r="AF16" s="782">
        <f>+$E15*AF86</f>
        <v/>
      </c>
      <c r="AG16" s="782">
        <f>+$E15*AG86</f>
        <v/>
      </c>
      <c r="AH16" s="782" t="n"/>
      <c r="AI16" s="686" t="n"/>
      <c r="AJ16" s="782" t="n"/>
      <c r="AK16" s="686" t="n"/>
    </row>
    <row r="17" ht="14" customHeight="1" s="549">
      <c r="A17" s="681" t="n"/>
      <c r="B17" s="681" t="n"/>
      <c r="C17" s="712" t="n">
        <v>2</v>
      </c>
      <c r="D17" s="688" t="inlineStr">
        <is>
          <t>Insumos Instalación</t>
        </is>
      </c>
      <c r="E17" s="792">
        <f>+Supuestos!E19</f>
        <v/>
      </c>
      <c r="F17" s="688">
        <f>+F87</f>
        <v/>
      </c>
      <c r="G17" s="681" t="n"/>
      <c r="H17" s="793">
        <f>+SUM(H17:H19)</f>
        <v/>
      </c>
      <c r="I17" s="793">
        <f>+SUM(I17:I19)</f>
        <v/>
      </c>
      <c r="J17" s="793">
        <f>+SUM(J17:J19)</f>
        <v/>
      </c>
      <c r="K17" s="793">
        <f>+SUM(K17:K19)</f>
        <v/>
      </c>
      <c r="L17" s="793">
        <f>+SUM(L17:L19)</f>
        <v/>
      </c>
      <c r="M17" s="793">
        <f>+SUM(M17:M19)</f>
        <v/>
      </c>
      <c r="N17" s="793">
        <f>+SUM(N17:N19)</f>
        <v/>
      </c>
      <c r="O17" s="793">
        <f>+SUM(O17:O19)</f>
        <v/>
      </c>
      <c r="P17" s="793">
        <f>+SUM(P17:P19)</f>
        <v/>
      </c>
      <c r="Q17" s="793">
        <f>+SUM(Q17:Q19)</f>
        <v/>
      </c>
      <c r="R17" s="793">
        <f>+SUM(R17:R19)</f>
        <v/>
      </c>
      <c r="S17" s="793">
        <f>+SUM(S17:S19)</f>
        <v/>
      </c>
      <c r="T17" s="787">
        <f>SUM(H16:S16)</f>
        <v/>
      </c>
      <c r="U17" s="681" t="n"/>
      <c r="V17" s="793">
        <f>+SUM(V17:V19)</f>
        <v/>
      </c>
      <c r="W17" s="793">
        <f>+SUM(W17:W19)</f>
        <v/>
      </c>
      <c r="X17" s="793">
        <f>+SUM(X17:X19)</f>
        <v/>
      </c>
      <c r="Y17" s="793">
        <f>+SUM(Y17:Y19)</f>
        <v/>
      </c>
      <c r="Z17" s="793">
        <f>+SUM(Z17:Z19)</f>
        <v/>
      </c>
      <c r="AA17" s="793">
        <f>+SUM(AA17:AA19)</f>
        <v/>
      </c>
      <c r="AB17" s="793">
        <f>+SUM(AB17:AB19)</f>
        <v/>
      </c>
      <c r="AC17" s="793">
        <f>+SUM(AC17:AC19)</f>
        <v/>
      </c>
      <c r="AD17" s="793">
        <f>+SUM(AD17:AD19)</f>
        <v/>
      </c>
      <c r="AE17" s="793">
        <f>+SUM(AE17:AE19)</f>
        <v/>
      </c>
      <c r="AF17" s="793">
        <f>+SUM(AF17:AF19)</f>
        <v/>
      </c>
      <c r="AG17" s="793">
        <f>+SUM(AG17:AG19)</f>
        <v/>
      </c>
      <c r="AH17" s="787">
        <f>SUM(V16:AG16)</f>
        <v/>
      </c>
      <c r="AI17" s="681" t="n"/>
      <c r="AJ17" s="787">
        <f>+AH16+T16</f>
        <v/>
      </c>
      <c r="AK17" s="681" t="n"/>
    </row>
    <row r="18" ht="14" customHeight="1" s="549">
      <c r="A18" s="686" t="n"/>
      <c r="B18" s="686" t="inlineStr">
        <is>
          <t>Factura</t>
        </is>
      </c>
      <c r="C18" s="788" t="inlineStr">
        <is>
          <t>2.1</t>
        </is>
      </c>
      <c r="D18" s="789" t="inlineStr">
        <is>
          <t>Estructura</t>
        </is>
      </c>
      <c r="E18" s="790">
        <f>+Supuestos!E20</f>
        <v/>
      </c>
      <c r="F18" s="789">
        <f>+F88</f>
        <v/>
      </c>
      <c r="G18" s="686" t="n"/>
      <c r="H18" s="782">
        <f>+$E17*H88</f>
        <v/>
      </c>
      <c r="I18" s="782">
        <f>+$E17*I88</f>
        <v/>
      </c>
      <c r="J18" s="782">
        <f>+$E17*J88</f>
        <v/>
      </c>
      <c r="K18" s="782">
        <f>+$E17*K88</f>
        <v/>
      </c>
      <c r="L18" s="782">
        <f>+$E17*L88</f>
        <v/>
      </c>
      <c r="M18" s="782">
        <f>+$E17*M88</f>
        <v/>
      </c>
      <c r="N18" s="782">
        <f>+$E17*N88</f>
        <v/>
      </c>
      <c r="O18" s="782">
        <f>+$E17*O88</f>
        <v/>
      </c>
      <c r="P18" s="782">
        <f>+$E17*P88</f>
        <v/>
      </c>
      <c r="Q18" s="782">
        <f>+$E17*Q88</f>
        <v/>
      </c>
      <c r="R18" s="782">
        <f>+$E17*R88</f>
        <v/>
      </c>
      <c r="S18" s="782">
        <f>+$E17*S88</f>
        <v/>
      </c>
      <c r="T18" s="782" t="n"/>
      <c r="U18" s="686" t="n"/>
      <c r="V18" s="782">
        <f>+$E17*V88</f>
        <v/>
      </c>
      <c r="W18" s="782">
        <f>+$E17*W88</f>
        <v/>
      </c>
      <c r="X18" s="782">
        <f>+$E17*X88</f>
        <v/>
      </c>
      <c r="Y18" s="782">
        <f>+$E17*Y88</f>
        <v/>
      </c>
      <c r="Z18" s="782">
        <f>+$E17*Z88</f>
        <v/>
      </c>
      <c r="AA18" s="782">
        <f>+$E17*AA88</f>
        <v/>
      </c>
      <c r="AB18" s="782">
        <f>+$E17*AB88</f>
        <v/>
      </c>
      <c r="AC18" s="782">
        <f>+$E17*AC88</f>
        <v/>
      </c>
      <c r="AD18" s="782">
        <f>+$E17*AD88</f>
        <v/>
      </c>
      <c r="AE18" s="782">
        <f>+$E17*AE88</f>
        <v/>
      </c>
      <c r="AF18" s="782">
        <f>+$E17*AF88</f>
        <v/>
      </c>
      <c r="AG18" s="782">
        <f>+$E17*AG88</f>
        <v/>
      </c>
      <c r="AH18" s="782" t="n"/>
      <c r="AI18" s="686" t="n"/>
      <c r="AJ18" s="782" t="n"/>
      <c r="AK18" s="686" t="n"/>
    </row>
    <row r="19" ht="14" customHeight="1" s="549">
      <c r="A19" s="681" t="n"/>
      <c r="B19" s="681" t="inlineStr">
        <is>
          <t xml:space="preserve">Factura o Boleta </t>
        </is>
      </c>
      <c r="C19" s="783" t="inlineStr">
        <is>
          <t>2.2</t>
        </is>
      </c>
      <c r="D19" s="784" t="inlineStr">
        <is>
          <t>Materiales instalación</t>
        </is>
      </c>
      <c r="E19" s="785">
        <f>+Supuestos!E21</f>
        <v/>
      </c>
      <c r="F19" s="784">
        <f>+F89</f>
        <v/>
      </c>
      <c r="G19" s="681" t="n"/>
      <c r="H19" s="787">
        <f>+$E18*H89</f>
        <v/>
      </c>
      <c r="I19" s="787">
        <f>+$E18*I89</f>
        <v/>
      </c>
      <c r="J19" s="787">
        <f>+$E18*J89</f>
        <v/>
      </c>
      <c r="K19" s="787">
        <f>+$E18*K89</f>
        <v/>
      </c>
      <c r="L19" s="787">
        <f>+$E18*L89</f>
        <v/>
      </c>
      <c r="M19" s="787">
        <f>+$E18*M89</f>
        <v/>
      </c>
      <c r="N19" s="787">
        <f>+$E18*N89</f>
        <v/>
      </c>
      <c r="O19" s="787">
        <f>+$E18*O89</f>
        <v/>
      </c>
      <c r="P19" s="787">
        <f>+$E18*P89</f>
        <v/>
      </c>
      <c r="Q19" s="787">
        <f>+$E18*Q89</f>
        <v/>
      </c>
      <c r="R19" s="787">
        <f>+$E18*R89</f>
        <v/>
      </c>
      <c r="S19" s="787">
        <f>+$E18*S89</f>
        <v/>
      </c>
      <c r="T19" s="787" t="n"/>
      <c r="U19" s="681" t="n"/>
      <c r="V19" s="787">
        <f>+$E18*V89</f>
        <v/>
      </c>
      <c r="W19" s="787">
        <f>+$E18*W89</f>
        <v/>
      </c>
      <c r="X19" s="787">
        <f>+$E18*X89</f>
        <v/>
      </c>
      <c r="Y19" s="787">
        <f>+$E18*Y89</f>
        <v/>
      </c>
      <c r="Z19" s="787">
        <f>+$E18*Z89</f>
        <v/>
      </c>
      <c r="AA19" s="787">
        <f>+$E18*AA89</f>
        <v/>
      </c>
      <c r="AB19" s="787">
        <f>+$E18*AB89</f>
        <v/>
      </c>
      <c r="AC19" s="787">
        <f>+$E18*AC89</f>
        <v/>
      </c>
      <c r="AD19" s="787">
        <f>+$E18*AD89</f>
        <v/>
      </c>
      <c r="AE19" s="787">
        <f>+$E18*AE89</f>
        <v/>
      </c>
      <c r="AF19" s="787">
        <f>+$E18*AF89</f>
        <v/>
      </c>
      <c r="AG19" s="787">
        <f>+$E18*AG89</f>
        <v/>
      </c>
      <c r="AH19" s="787" t="n"/>
      <c r="AI19" s="681" t="n"/>
      <c r="AJ19" s="787" t="n"/>
      <c r="AK19" s="681" t="n"/>
    </row>
    <row r="20" ht="14" customHeight="1" s="549">
      <c r="A20" s="686" t="n"/>
      <c r="B20" s="686" t="inlineStr">
        <is>
          <t xml:space="preserve">Factura o Boleta </t>
        </is>
      </c>
      <c r="C20" s="788" t="inlineStr">
        <is>
          <t>2.3</t>
        </is>
      </c>
      <c r="D20" s="789" t="inlineStr">
        <is>
          <t>Herramientas</t>
        </is>
      </c>
      <c r="E20" s="790">
        <f>+Supuestos!E22</f>
        <v/>
      </c>
      <c r="F20" s="789">
        <f>+F90</f>
        <v/>
      </c>
      <c r="G20" s="686" t="n"/>
      <c r="H20" s="782">
        <f>+$E19*H90</f>
        <v/>
      </c>
      <c r="I20" s="782">
        <f>+$E19*I90</f>
        <v/>
      </c>
      <c r="J20" s="782">
        <f>+$E19*J90</f>
        <v/>
      </c>
      <c r="K20" s="782">
        <f>+$E19*K90</f>
        <v/>
      </c>
      <c r="L20" s="782">
        <f>+$E19*L90</f>
        <v/>
      </c>
      <c r="M20" s="782">
        <f>+$E19*M90</f>
        <v/>
      </c>
      <c r="N20" s="782">
        <f>+$E19*N90</f>
        <v/>
      </c>
      <c r="O20" s="782">
        <f>+$E19*O90</f>
        <v/>
      </c>
      <c r="P20" s="782">
        <f>+$E19*P90</f>
        <v/>
      </c>
      <c r="Q20" s="782">
        <f>+$E19*Q90</f>
        <v/>
      </c>
      <c r="R20" s="782">
        <f>+$E19*R90</f>
        <v/>
      </c>
      <c r="S20" s="782">
        <f>+$E19*S90</f>
        <v/>
      </c>
      <c r="T20" s="782" t="n"/>
      <c r="U20" s="686" t="n"/>
      <c r="V20" s="782">
        <f>+$E19*V90</f>
        <v/>
      </c>
      <c r="W20" s="782">
        <f>+$E19*W90</f>
        <v/>
      </c>
      <c r="X20" s="782">
        <f>+$E19*X90</f>
        <v/>
      </c>
      <c r="Y20" s="782">
        <f>+$E19*Y90</f>
        <v/>
      </c>
      <c r="Z20" s="782">
        <f>+$E19*Z90</f>
        <v/>
      </c>
      <c r="AA20" s="782">
        <f>+$E19*AA90</f>
        <v/>
      </c>
      <c r="AB20" s="782">
        <f>+$E19*AB90</f>
        <v/>
      </c>
      <c r="AC20" s="782">
        <f>+$E19*AC90</f>
        <v/>
      </c>
      <c r="AD20" s="782">
        <f>+$E19*AD90</f>
        <v/>
      </c>
      <c r="AE20" s="782">
        <f>+$E19*AE90</f>
        <v/>
      </c>
      <c r="AF20" s="782">
        <f>+$E19*AF90</f>
        <v/>
      </c>
      <c r="AG20" s="782">
        <f>+$E19*AG90</f>
        <v/>
      </c>
      <c r="AH20" s="782" t="n"/>
      <c r="AI20" s="686" t="n"/>
      <c r="AJ20" s="782" t="n"/>
      <c r="AK20" s="686" t="n"/>
    </row>
    <row r="21" ht="14" customHeight="1" s="549">
      <c r="A21" s="681" t="n"/>
      <c r="B21" s="681" t="n"/>
      <c r="C21" s="712" t="inlineStr">
        <is>
          <t>3.</t>
        </is>
      </c>
      <c r="D21" s="688" t="inlineStr">
        <is>
          <t>Personal y Servicios</t>
        </is>
      </c>
      <c r="E21" s="792">
        <f>+Supuestos!E23</f>
        <v/>
      </c>
      <c r="F21" s="688">
        <f>+F91</f>
        <v/>
      </c>
      <c r="G21" s="681" t="n"/>
      <c r="H21" s="793">
        <f>H21+H22</f>
        <v/>
      </c>
      <c r="I21" s="793">
        <f>I21+I22</f>
        <v/>
      </c>
      <c r="J21" s="793">
        <f>J21+J22</f>
        <v/>
      </c>
      <c r="K21" s="793">
        <f>K21+K22</f>
        <v/>
      </c>
      <c r="L21" s="793">
        <f>L21+L22</f>
        <v/>
      </c>
      <c r="M21" s="793">
        <f>M21+M22</f>
        <v/>
      </c>
      <c r="N21" s="793">
        <f>N21+N22</f>
        <v/>
      </c>
      <c r="O21" s="793">
        <f>O21+O22</f>
        <v/>
      </c>
      <c r="P21" s="793">
        <f>P21+P22</f>
        <v/>
      </c>
      <c r="Q21" s="793">
        <f>Q21+Q22</f>
        <v/>
      </c>
      <c r="R21" s="793">
        <f>R21+R22</f>
        <v/>
      </c>
      <c r="S21" s="793">
        <f>S21+S22</f>
        <v/>
      </c>
      <c r="T21" s="787">
        <f>SUM(H20:S20)</f>
        <v/>
      </c>
      <c r="U21" s="681" t="n"/>
      <c r="V21" s="793">
        <f>V21+V22</f>
        <v/>
      </c>
      <c r="W21" s="793">
        <f>W21+W22</f>
        <v/>
      </c>
      <c r="X21" s="793">
        <f>X21+X22</f>
        <v/>
      </c>
      <c r="Y21" s="793">
        <f>Y21+Y22</f>
        <v/>
      </c>
      <c r="Z21" s="793">
        <f>Z21+Z22</f>
        <v/>
      </c>
      <c r="AA21" s="793">
        <f>AA21+AA22</f>
        <v/>
      </c>
      <c r="AB21" s="793">
        <f>AB21+AB22</f>
        <v/>
      </c>
      <c r="AC21" s="793">
        <f>AC21+AC22</f>
        <v/>
      </c>
      <c r="AD21" s="793">
        <f>AD21+AD22</f>
        <v/>
      </c>
      <c r="AE21" s="793">
        <f>AE21+AE22</f>
        <v/>
      </c>
      <c r="AF21" s="793">
        <f>AF21+AF22</f>
        <v/>
      </c>
      <c r="AG21" s="793">
        <f>AG21+AG22</f>
        <v/>
      </c>
      <c r="AH21" s="787">
        <f>SUM(V20:AG20)</f>
        <v/>
      </c>
      <c r="AI21" s="681" t="n"/>
      <c r="AJ21" s="787">
        <f>+AH20+T20</f>
        <v/>
      </c>
      <c r="AK21" s="681" t="n"/>
    </row>
    <row r="22" ht="14" customHeight="1" s="549">
      <c r="A22" s="686" t="n"/>
      <c r="B22" s="686" t="inlineStr">
        <is>
          <t>Costo Empresa</t>
        </is>
      </c>
      <c r="C22" s="788" t="inlineStr">
        <is>
          <t>3.1</t>
        </is>
      </c>
      <c r="D22" s="789" t="inlineStr">
        <is>
          <t>Planilla Actual</t>
        </is>
      </c>
      <c r="E22" s="790">
        <f>+Supuestos!E24</f>
        <v/>
      </c>
      <c r="F22" s="789">
        <f>+F92</f>
        <v/>
      </c>
      <c r="G22" s="686" t="n"/>
      <c r="H22" s="782">
        <f>+$E21*H92</f>
        <v/>
      </c>
      <c r="I22" s="782">
        <f>+$E21*I92</f>
        <v/>
      </c>
      <c r="J22" s="782">
        <f>+$E21*J92</f>
        <v/>
      </c>
      <c r="K22" s="782">
        <f>+$E21*K92</f>
        <v/>
      </c>
      <c r="L22" s="782">
        <f>+$E21*L92</f>
        <v/>
      </c>
      <c r="M22" s="782">
        <f>+$E21*M92</f>
        <v/>
      </c>
      <c r="N22" s="782">
        <f>+$E21*N92</f>
        <v/>
      </c>
      <c r="O22" s="782">
        <f>+$E21*O92</f>
        <v/>
      </c>
      <c r="P22" s="782">
        <f>+$E21*P92</f>
        <v/>
      </c>
      <c r="Q22" s="782">
        <f>+$E21*Q92</f>
        <v/>
      </c>
      <c r="R22" s="782">
        <f>+$E21*R92</f>
        <v/>
      </c>
      <c r="S22" s="782">
        <f>+$E21*S92</f>
        <v/>
      </c>
      <c r="T22" s="782" t="n"/>
      <c r="U22" s="686" t="n"/>
      <c r="V22" s="782">
        <f>+$E21*V92</f>
        <v/>
      </c>
      <c r="W22" s="782">
        <f>+$E21*W92</f>
        <v/>
      </c>
      <c r="X22" s="782">
        <f>+$E21*X92</f>
        <v/>
      </c>
      <c r="Y22" s="782">
        <f>+$E21*Y92</f>
        <v/>
      </c>
      <c r="Z22" s="782">
        <f>+$E21*Z92</f>
        <v/>
      </c>
      <c r="AA22" s="782">
        <f>+$E21*AA92</f>
        <v/>
      </c>
      <c r="AB22" s="782">
        <f>+$E21*AB92</f>
        <v/>
      </c>
      <c r="AC22" s="782">
        <f>+$E21*AC92</f>
        <v/>
      </c>
      <c r="AD22" s="782">
        <f>+$E21*AD92</f>
        <v/>
      </c>
      <c r="AE22" s="782">
        <f>+$E21*AE92</f>
        <v/>
      </c>
      <c r="AF22" s="782">
        <f>+$E21*AF92</f>
        <v/>
      </c>
      <c r="AG22" s="782">
        <f>+$E21*AG92</f>
        <v/>
      </c>
      <c r="AH22" s="782" t="n"/>
      <c r="AI22" s="686" t="n"/>
      <c r="AJ22" s="782" t="n"/>
      <c r="AK22" s="686" t="n"/>
    </row>
    <row r="23" ht="14" customHeight="1" s="549">
      <c r="A23" s="681" t="n"/>
      <c r="B23" s="681" t="n"/>
      <c r="C23" s="783" t="inlineStr">
        <is>
          <t>3.2</t>
        </is>
      </c>
      <c r="D23" s="784" t="inlineStr">
        <is>
          <t>Descarga Estructura</t>
        </is>
      </c>
      <c r="E23" s="785">
        <f>+Supuestos!E25</f>
        <v/>
      </c>
      <c r="F23" s="784" t="n"/>
      <c r="G23" s="681" t="n"/>
      <c r="H23" s="787">
        <f>+$E22*H93</f>
        <v/>
      </c>
      <c r="I23" s="787">
        <f>+$E22*I93</f>
        <v/>
      </c>
      <c r="J23" s="787">
        <f>+$E22*J93</f>
        <v/>
      </c>
      <c r="K23" s="787">
        <f>+$E22*K93</f>
        <v/>
      </c>
      <c r="L23" s="787">
        <f>+$E22*L93</f>
        <v/>
      </c>
      <c r="M23" s="787">
        <f>+$E22*M93</f>
        <v/>
      </c>
      <c r="N23" s="787">
        <f>+$E22*N93</f>
        <v/>
      </c>
      <c r="O23" s="787">
        <f>+$E22*O93</f>
        <v/>
      </c>
      <c r="P23" s="787">
        <f>+$E22*P93</f>
        <v/>
      </c>
      <c r="Q23" s="787">
        <f>+$E22*Q93</f>
        <v/>
      </c>
      <c r="R23" s="787">
        <f>+$E22*R93</f>
        <v/>
      </c>
      <c r="S23" s="787">
        <f>+$E22*S93</f>
        <v/>
      </c>
      <c r="T23" s="787" t="n"/>
      <c r="U23" s="681" t="n"/>
      <c r="V23" s="787">
        <f>+$E22*V93</f>
        <v/>
      </c>
      <c r="W23" s="787">
        <f>+$E22*W93</f>
        <v/>
      </c>
      <c r="X23" s="787">
        <f>+$E22*X93</f>
        <v/>
      </c>
      <c r="Y23" s="787">
        <f>+$E22*Y93</f>
        <v/>
      </c>
      <c r="Z23" s="787">
        <f>+$E22*Z93</f>
        <v/>
      </c>
      <c r="AA23" s="787">
        <f>+$E22*AA93</f>
        <v/>
      </c>
      <c r="AB23" s="787">
        <f>+$E22*AB93</f>
        <v/>
      </c>
      <c r="AC23" s="787">
        <f>+$E22*AC93</f>
        <v/>
      </c>
      <c r="AD23" s="787">
        <f>+$E22*AD93</f>
        <v/>
      </c>
      <c r="AE23" s="787">
        <f>+$E22*AE93</f>
        <v/>
      </c>
      <c r="AF23" s="787">
        <f>+$E22*AF93</f>
        <v/>
      </c>
      <c r="AG23" s="787">
        <f>+$E22*AG93</f>
        <v/>
      </c>
      <c r="AH23" s="787" t="n"/>
      <c r="AI23" s="681" t="n"/>
      <c r="AJ23" s="787" t="n"/>
      <c r="AK23" s="681" t="n"/>
    </row>
    <row r="24" ht="14" customHeight="1" s="549">
      <c r="A24" s="686" t="n"/>
      <c r="B24" s="686" t="n"/>
      <c r="C24" s="771" t="inlineStr">
        <is>
          <t>4.</t>
        </is>
      </c>
      <c r="D24" s="682" t="inlineStr">
        <is>
          <t>Servicios Profesionales</t>
        </is>
      </c>
      <c r="E24" s="780">
        <f>+Supuestos!E26</f>
        <v/>
      </c>
      <c r="F24" s="682">
        <f>+F94</f>
        <v/>
      </c>
      <c r="G24" s="686" t="n"/>
      <c r="H24" s="781">
        <f>+SUM(H24:H31)</f>
        <v/>
      </c>
      <c r="I24" s="781">
        <f>+SUM(I24:I31)</f>
        <v/>
      </c>
      <c r="J24" s="781">
        <f>+SUM(J24:J31)</f>
        <v/>
      </c>
      <c r="K24" s="781">
        <f>+SUM(K24:K31)</f>
        <v/>
      </c>
      <c r="L24" s="781">
        <f>+SUM(L24:L31)</f>
        <v/>
      </c>
      <c r="M24" s="781">
        <f>+SUM(M24:M31)</f>
        <v/>
      </c>
      <c r="N24" s="781">
        <f>+SUM(N24:N31)</f>
        <v/>
      </c>
      <c r="O24" s="781">
        <f>+SUM(O24:O31)</f>
        <v/>
      </c>
      <c r="P24" s="781">
        <f>+SUM(P24:P31)</f>
        <v/>
      </c>
      <c r="Q24" s="781">
        <f>+SUM(Q24:Q31)</f>
        <v/>
      </c>
      <c r="R24" s="781">
        <f>+SUM(R24:R31)</f>
        <v/>
      </c>
      <c r="S24" s="781">
        <f>+SUM(S24:S31)</f>
        <v/>
      </c>
      <c r="T24" s="782">
        <f>SUM(H23:S23)</f>
        <v/>
      </c>
      <c r="U24" s="686" t="n"/>
      <c r="V24" s="781">
        <f>+SUM(V24:V31)</f>
        <v/>
      </c>
      <c r="W24" s="781">
        <f>+SUM(W24:W31)</f>
        <v/>
      </c>
      <c r="X24" s="781">
        <f>+SUM(X24:X31)</f>
        <v/>
      </c>
      <c r="Y24" s="781">
        <f>+SUM(Y24:Y31)</f>
        <v/>
      </c>
      <c r="Z24" s="781">
        <f>+SUM(Z24:Z31)</f>
        <v/>
      </c>
      <c r="AA24" s="781">
        <f>+SUM(AA24:AA31)</f>
        <v/>
      </c>
      <c r="AB24" s="781">
        <f>+SUM(AB24:AB31)</f>
        <v/>
      </c>
      <c r="AC24" s="781">
        <f>+SUM(AC24:AC31)</f>
        <v/>
      </c>
      <c r="AD24" s="781">
        <f>+SUM(AD24:AD31)</f>
        <v/>
      </c>
      <c r="AE24" s="781">
        <f>+SUM(AE24:AE31)</f>
        <v/>
      </c>
      <c r="AF24" s="781">
        <f>+SUM(AF24:AF31)</f>
        <v/>
      </c>
      <c r="AG24" s="781">
        <f>+SUM(AG24:AG31)</f>
        <v/>
      </c>
      <c r="AH24" s="782">
        <f>SUM(V23:AG23)</f>
        <v/>
      </c>
      <c r="AI24" s="686" t="n"/>
      <c r="AJ24" s="782">
        <f>+AH23+T23</f>
        <v/>
      </c>
      <c r="AK24" s="686" t="n"/>
    </row>
    <row r="25" ht="14" customHeight="1" s="549">
      <c r="A25" s="681" t="n"/>
      <c r="B25" s="681" t="inlineStr">
        <is>
          <t>Boleta Honorarios</t>
        </is>
      </c>
      <c r="C25" s="783" t="inlineStr">
        <is>
          <t>4.1</t>
        </is>
      </c>
      <c r="D25" s="784" t="inlineStr">
        <is>
          <t>Encargado de Logistica y Bodega</t>
        </is>
      </c>
      <c r="E25" s="785">
        <f>+Supuestos!E27</f>
        <v/>
      </c>
      <c r="F25" s="784">
        <f>+F95</f>
        <v/>
      </c>
      <c r="G25" s="681" t="n"/>
      <c r="H25" s="787">
        <f>+$E24*H95</f>
        <v/>
      </c>
      <c r="I25" s="787">
        <f>+$E24*I95</f>
        <v/>
      </c>
      <c r="J25" s="787">
        <f>+$E24*J95</f>
        <v/>
      </c>
      <c r="K25" s="787">
        <f>+$E24*K95</f>
        <v/>
      </c>
      <c r="L25" s="787">
        <f>+$E24*L95</f>
        <v/>
      </c>
      <c r="M25" s="787">
        <f>+$E24*M95</f>
        <v/>
      </c>
      <c r="N25" s="787">
        <f>+$E24*N95</f>
        <v/>
      </c>
      <c r="O25" s="787">
        <f>+$E24*O95</f>
        <v/>
      </c>
      <c r="P25" s="787">
        <f>+$E24*P95</f>
        <v/>
      </c>
      <c r="Q25" s="787">
        <f>+$E24*Q95</f>
        <v/>
      </c>
      <c r="R25" s="787">
        <f>+$E24*R95</f>
        <v/>
      </c>
      <c r="S25" s="787">
        <f>+$E24*S95</f>
        <v/>
      </c>
      <c r="T25" s="787" t="n"/>
      <c r="U25" s="681" t="n"/>
      <c r="V25" s="787">
        <f>+$E24*V95</f>
        <v/>
      </c>
      <c r="W25" s="787">
        <f>+$E24*W95</f>
        <v/>
      </c>
      <c r="X25" s="787">
        <f>+$E24*X95</f>
        <v/>
      </c>
      <c r="Y25" s="787">
        <f>+$E24*Y95</f>
        <v/>
      </c>
      <c r="Z25" s="787">
        <f>+$E24*Z95</f>
        <v/>
      </c>
      <c r="AA25" s="787">
        <f>+$E24*AA95</f>
        <v/>
      </c>
      <c r="AB25" s="787">
        <f>+$E24*AB95</f>
        <v/>
      </c>
      <c r="AC25" s="787">
        <f>+$E24*AC95</f>
        <v/>
      </c>
      <c r="AD25" s="787">
        <f>+$E24*AD95</f>
        <v/>
      </c>
      <c r="AE25" s="787">
        <f>+$E24*AE95</f>
        <v/>
      </c>
      <c r="AF25" s="787">
        <f>+$E24*AF95</f>
        <v/>
      </c>
      <c r="AG25" s="787">
        <f>+$E24*AG95</f>
        <v/>
      </c>
      <c r="AH25" s="787" t="n"/>
      <c r="AI25" s="681" t="n"/>
      <c r="AJ25" s="787" t="n"/>
      <c r="AK25" s="681" t="n"/>
    </row>
    <row r="26" ht="14" customHeight="1" s="549">
      <c r="A26" s="686" t="n"/>
      <c r="B26" s="686" t="inlineStr">
        <is>
          <t>Boleta Honorarios</t>
        </is>
      </c>
      <c r="C26" s="788" t="inlineStr">
        <is>
          <t>4.2</t>
        </is>
      </c>
      <c r="D26" s="789" t="inlineStr">
        <is>
          <t>Técnico pago por instalación - Plan A</t>
        </is>
      </c>
      <c r="E26" s="790">
        <f>+Supuestos!E28</f>
        <v/>
      </c>
      <c r="F26" s="789">
        <f>+F96</f>
        <v/>
      </c>
      <c r="G26" s="686" t="n"/>
      <c r="H26" s="782">
        <f>+$E25*H96</f>
        <v/>
      </c>
      <c r="I26" s="782">
        <f>+$E25*I96</f>
        <v/>
      </c>
      <c r="J26" s="782">
        <f>+$E25*J96</f>
        <v/>
      </c>
      <c r="K26" s="782">
        <f>+$E25*K96</f>
        <v/>
      </c>
      <c r="L26" s="782">
        <f>+$E25*L96</f>
        <v/>
      </c>
      <c r="M26" s="782">
        <f>+$E25*M96</f>
        <v/>
      </c>
      <c r="N26" s="782">
        <f>+$E25*N96</f>
        <v/>
      </c>
      <c r="O26" s="782">
        <f>+$E25*O96</f>
        <v/>
      </c>
      <c r="P26" s="782">
        <f>+$E25*P96</f>
        <v/>
      </c>
      <c r="Q26" s="782">
        <f>+$E25*Q96</f>
        <v/>
      </c>
      <c r="R26" s="782">
        <f>+$E25*R96</f>
        <v/>
      </c>
      <c r="S26" s="782">
        <f>+$E25*S96</f>
        <v/>
      </c>
      <c r="T26" s="782" t="n"/>
      <c r="U26" s="686" t="n"/>
      <c r="V26" s="782">
        <f>+$E25*V96</f>
        <v/>
      </c>
      <c r="W26" s="782">
        <f>+$E25*W96</f>
        <v/>
      </c>
      <c r="X26" s="782">
        <f>+$E25*X96</f>
        <v/>
      </c>
      <c r="Y26" s="782">
        <f>+$E25*Y96</f>
        <v/>
      </c>
      <c r="Z26" s="782">
        <f>+$E25*Z96</f>
        <v/>
      </c>
      <c r="AA26" s="782">
        <f>+$E25*AA96</f>
        <v/>
      </c>
      <c r="AB26" s="782">
        <f>+$E25*AB96</f>
        <v/>
      </c>
      <c r="AC26" s="782">
        <f>+$E25*AC96</f>
        <v/>
      </c>
      <c r="AD26" s="782">
        <f>+$E25*AD96</f>
        <v/>
      </c>
      <c r="AE26" s="782">
        <f>+$E25*AE96</f>
        <v/>
      </c>
      <c r="AF26" s="782">
        <f>+$E25*AF96</f>
        <v/>
      </c>
      <c r="AG26" s="782">
        <f>+$E25*AG96</f>
        <v/>
      </c>
      <c r="AH26" s="782" t="n"/>
      <c r="AI26" s="686" t="n"/>
      <c r="AJ26" s="782" t="n"/>
      <c r="AK26" s="686" t="n"/>
    </row>
    <row r="27" ht="14" customHeight="1" s="549">
      <c r="A27" s="681" t="n"/>
      <c r="B27" s="681" t="inlineStr">
        <is>
          <t>Boleta Honorarios</t>
        </is>
      </c>
      <c r="C27" s="783" t="inlineStr">
        <is>
          <t>4.3</t>
        </is>
      </c>
      <c r="D27" s="784" t="inlineStr">
        <is>
          <t>Técnico contrato mensual - Plan B</t>
        </is>
      </c>
      <c r="E27" s="785">
        <f>+Supuestos!E29</f>
        <v/>
      </c>
      <c r="F27" s="784">
        <f>+F97</f>
        <v/>
      </c>
      <c r="G27" s="681" t="n"/>
      <c r="H27" s="787">
        <f>+$E26*H97</f>
        <v/>
      </c>
      <c r="I27" s="787">
        <f>+$E26*I97</f>
        <v/>
      </c>
      <c r="J27" s="787">
        <f>+$E26*J97</f>
        <v/>
      </c>
      <c r="K27" s="787">
        <f>+$E26*K97</f>
        <v/>
      </c>
      <c r="L27" s="787">
        <f>+$E26*L97</f>
        <v/>
      </c>
      <c r="M27" s="787">
        <f>+$E26*M97</f>
        <v/>
      </c>
      <c r="N27" s="787">
        <f>+$E26*N97</f>
        <v/>
      </c>
      <c r="O27" s="787">
        <f>+$E26*O97</f>
        <v/>
      </c>
      <c r="P27" s="787">
        <f>+$E26*P97</f>
        <v/>
      </c>
      <c r="Q27" s="787">
        <f>+$E26*Q97</f>
        <v/>
      </c>
      <c r="R27" s="787">
        <f>+$E26*R97</f>
        <v/>
      </c>
      <c r="S27" s="787">
        <f>+$E26*S97</f>
        <v/>
      </c>
      <c r="T27" s="787" t="n"/>
      <c r="U27" s="681" t="n"/>
      <c r="V27" s="787">
        <f>+$E26*V97</f>
        <v/>
      </c>
      <c r="W27" s="787">
        <f>+$E26*W97</f>
        <v/>
      </c>
      <c r="X27" s="787">
        <f>+$E26*X97</f>
        <v/>
      </c>
      <c r="Y27" s="787">
        <f>+$E26*Y97</f>
        <v/>
      </c>
      <c r="Z27" s="787">
        <f>+$E26*Z97</f>
        <v/>
      </c>
      <c r="AA27" s="787">
        <f>+$E26*AA97</f>
        <v/>
      </c>
      <c r="AB27" s="787">
        <f>+$E26*AB97</f>
        <v/>
      </c>
      <c r="AC27" s="787">
        <f>+$E26*AC97</f>
        <v/>
      </c>
      <c r="AD27" s="787">
        <f>+$E26*AD97</f>
        <v/>
      </c>
      <c r="AE27" s="787">
        <f>+$E26*AE97</f>
        <v/>
      </c>
      <c r="AF27" s="787">
        <f>+$E26*AF97</f>
        <v/>
      </c>
      <c r="AG27" s="787">
        <f>+$E26*AG97</f>
        <v/>
      </c>
      <c r="AH27" s="787" t="n"/>
      <c r="AI27" s="681" t="n"/>
      <c r="AJ27" s="787" t="n"/>
      <c r="AK27" s="681" t="n"/>
    </row>
    <row r="28" ht="14" customHeight="1" s="549">
      <c r="A28" s="686" t="n"/>
      <c r="B28" s="686" t="inlineStr">
        <is>
          <t>Boleta Honorarios</t>
        </is>
      </c>
      <c r="C28" s="788" t="inlineStr">
        <is>
          <t>4.4</t>
        </is>
      </c>
      <c r="D28" s="789" t="inlineStr">
        <is>
          <t>Ayudante contrato mensual - Plan B</t>
        </is>
      </c>
      <c r="E28" s="790">
        <f>+Supuestos!E30</f>
        <v/>
      </c>
      <c r="F28" s="789">
        <f>+F98</f>
        <v/>
      </c>
      <c r="G28" s="686" t="n"/>
      <c r="H28" s="782">
        <f>+$E27*H98</f>
        <v/>
      </c>
      <c r="I28" s="782">
        <f>+$E27*I98</f>
        <v/>
      </c>
      <c r="J28" s="782">
        <f>+$E27*J98</f>
        <v/>
      </c>
      <c r="K28" s="782">
        <f>+$E27*K98</f>
        <v/>
      </c>
      <c r="L28" s="782">
        <f>+$E27*L98</f>
        <v/>
      </c>
      <c r="M28" s="782">
        <f>+$E27*M98</f>
        <v/>
      </c>
      <c r="N28" s="782">
        <f>+$E27*N98</f>
        <v/>
      </c>
      <c r="O28" s="782">
        <f>+$E27*O98</f>
        <v/>
      </c>
      <c r="P28" s="782">
        <f>+$E27*P98</f>
        <v/>
      </c>
      <c r="Q28" s="782">
        <f>+$E27*Q98</f>
        <v/>
      </c>
      <c r="R28" s="782">
        <f>+$E27*R98</f>
        <v/>
      </c>
      <c r="S28" s="782">
        <f>+$E27*S98</f>
        <v/>
      </c>
      <c r="T28" s="782" t="n"/>
      <c r="U28" s="686" t="n"/>
      <c r="V28" s="782">
        <f>+$E27*V98</f>
        <v/>
      </c>
      <c r="W28" s="782">
        <f>+$E27*W98</f>
        <v/>
      </c>
      <c r="X28" s="782">
        <f>+$E27*X98</f>
        <v/>
      </c>
      <c r="Y28" s="782">
        <f>+$E27*Y98</f>
        <v/>
      </c>
      <c r="Z28" s="782">
        <f>+$E27*Z98</f>
        <v/>
      </c>
      <c r="AA28" s="782">
        <f>+$E27*AA98</f>
        <v/>
      </c>
      <c r="AB28" s="782">
        <f>+$E27*AB98</f>
        <v/>
      </c>
      <c r="AC28" s="782">
        <f>+$E27*AC98</f>
        <v/>
      </c>
      <c r="AD28" s="782">
        <f>+$E27*AD98</f>
        <v/>
      </c>
      <c r="AE28" s="782">
        <f>+$E27*AE98</f>
        <v/>
      </c>
      <c r="AF28" s="782">
        <f>+$E27*AF98</f>
        <v/>
      </c>
      <c r="AG28" s="782">
        <f>+$E27*AG98</f>
        <v/>
      </c>
      <c r="AH28" s="782" t="n"/>
      <c r="AI28" s="686" t="n"/>
      <c r="AJ28" s="782" t="n"/>
      <c r="AK28" s="686" t="n"/>
    </row>
    <row r="29" ht="14" customHeight="1" s="549">
      <c r="A29" s="681" t="n"/>
      <c r="B29" s="681" t="inlineStr">
        <is>
          <t>Boleta Honorarios</t>
        </is>
      </c>
      <c r="C29" s="783" t="inlineStr">
        <is>
          <t>4.5</t>
        </is>
      </c>
      <c r="D29" s="784" t="inlineStr">
        <is>
          <t>Personal apoyo Planos TE1</t>
        </is>
      </c>
      <c r="E29" s="785">
        <f>+Supuestos!E31</f>
        <v/>
      </c>
      <c r="F29" s="784">
        <f>+F99</f>
        <v/>
      </c>
      <c r="G29" s="681" t="n"/>
      <c r="H29" s="787">
        <f>+$E28*H99</f>
        <v/>
      </c>
      <c r="I29" s="787">
        <f>+$E28*I99</f>
        <v/>
      </c>
      <c r="J29" s="787">
        <f>+$E28*J99</f>
        <v/>
      </c>
      <c r="K29" s="787">
        <f>+$E28*K99</f>
        <v/>
      </c>
      <c r="L29" s="787">
        <f>+$E28*L99</f>
        <v/>
      </c>
      <c r="M29" s="787">
        <f>+$E28*M99</f>
        <v/>
      </c>
      <c r="N29" s="787">
        <f>+$E28*N99</f>
        <v/>
      </c>
      <c r="O29" s="787">
        <f>+$E28*O99</f>
        <v/>
      </c>
      <c r="P29" s="787">
        <f>+$E28*P99</f>
        <v/>
      </c>
      <c r="Q29" s="787">
        <f>+$E28*Q99</f>
        <v/>
      </c>
      <c r="R29" s="787">
        <f>+$E28*R99</f>
        <v/>
      </c>
      <c r="S29" s="787">
        <f>+$E28*S99</f>
        <v/>
      </c>
      <c r="T29" s="787" t="n"/>
      <c r="U29" s="681" t="n"/>
      <c r="V29" s="787">
        <f>+$E28*V99</f>
        <v/>
      </c>
      <c r="W29" s="787">
        <f>+$E28*W99</f>
        <v/>
      </c>
      <c r="X29" s="787">
        <f>+$E28*X99</f>
        <v/>
      </c>
      <c r="Y29" s="787">
        <f>+$E28*Y99</f>
        <v/>
      </c>
      <c r="Z29" s="787">
        <f>+$E28*Z99</f>
        <v/>
      </c>
      <c r="AA29" s="787">
        <f>+$E28*AA99</f>
        <v/>
      </c>
      <c r="AB29" s="787">
        <f>+$E28*AB99</f>
        <v/>
      </c>
      <c r="AC29" s="787">
        <f>+$E28*AC99</f>
        <v/>
      </c>
      <c r="AD29" s="787">
        <f>+$E28*AD99</f>
        <v/>
      </c>
      <c r="AE29" s="787">
        <f>+$E28*AE99</f>
        <v/>
      </c>
      <c r="AF29" s="787">
        <f>+$E28*AF99</f>
        <v/>
      </c>
      <c r="AG29" s="787">
        <f>+$E28*AG99</f>
        <v/>
      </c>
      <c r="AH29" s="787" t="n"/>
      <c r="AI29" s="681" t="n"/>
      <c r="AJ29" s="787" t="n"/>
      <c r="AK29" s="681" t="n"/>
    </row>
    <row r="30" ht="14" customHeight="1" s="549">
      <c r="A30" s="686" t="n"/>
      <c r="B30" s="686" t="inlineStr">
        <is>
          <t>Boleta Honorarios</t>
        </is>
      </c>
      <c r="C30" s="788" t="inlineStr">
        <is>
          <t>4.6</t>
        </is>
      </c>
      <c r="D30" s="789" t="inlineStr">
        <is>
          <t>Encargado territorial RRHH</t>
        </is>
      </c>
      <c r="E30" s="790">
        <f>Supuestos!E32</f>
        <v/>
      </c>
      <c r="F30" s="789" t="n"/>
      <c r="G30" s="686" t="n"/>
      <c r="H30" s="782">
        <f>+$E29*H100</f>
        <v/>
      </c>
      <c r="I30" s="782">
        <f>+$E29*I100</f>
        <v/>
      </c>
      <c r="J30" s="782">
        <f>+$E29*J100</f>
        <v/>
      </c>
      <c r="K30" s="782">
        <f>+$E29*K100</f>
        <v/>
      </c>
      <c r="L30" s="782">
        <f>+$E29*L100</f>
        <v/>
      </c>
      <c r="M30" s="782">
        <f>+$E29*M100</f>
        <v/>
      </c>
      <c r="N30" s="782">
        <f>+$E29*N100</f>
        <v/>
      </c>
      <c r="O30" s="782">
        <f>+$E29*O100</f>
        <v/>
      </c>
      <c r="P30" s="782">
        <f>+$E29*P100</f>
        <v/>
      </c>
      <c r="Q30" s="782">
        <f>+$E29*Q100</f>
        <v/>
      </c>
      <c r="R30" s="782">
        <f>+$E29*R100</f>
        <v/>
      </c>
      <c r="S30" s="782">
        <f>+$E29*S100</f>
        <v/>
      </c>
      <c r="T30" s="782" t="n"/>
      <c r="U30" s="686" t="n"/>
      <c r="V30" s="782">
        <f>+$E29*V100</f>
        <v/>
      </c>
      <c r="W30" s="782">
        <f>+$E29*W100</f>
        <v/>
      </c>
      <c r="X30" s="782">
        <f>+$E29*X100</f>
        <v/>
      </c>
      <c r="Y30" s="782">
        <f>+$E29*Y100</f>
        <v/>
      </c>
      <c r="Z30" s="782">
        <f>+$E29*Z100</f>
        <v/>
      </c>
      <c r="AA30" s="782">
        <f>+$E29*AA100</f>
        <v/>
      </c>
      <c r="AB30" s="782">
        <f>+$E29*AB100</f>
        <v/>
      </c>
      <c r="AC30" s="782">
        <f>+$E29*AC100</f>
        <v/>
      </c>
      <c r="AD30" s="782">
        <f>+$E29*AD100</f>
        <v/>
      </c>
      <c r="AE30" s="782">
        <f>+$E29*AE100</f>
        <v/>
      </c>
      <c r="AF30" s="782">
        <f>+$E29*AF100</f>
        <v/>
      </c>
      <c r="AG30" s="782">
        <f>+$E29*AG100</f>
        <v/>
      </c>
      <c r="AH30" s="782" t="n"/>
      <c r="AI30" s="686" t="n"/>
      <c r="AJ30" s="782" t="n"/>
      <c r="AK30" s="686" t="n"/>
    </row>
    <row r="31" ht="14" customHeight="1" s="549">
      <c r="A31" s="681" t="n"/>
      <c r="B31" s="681" t="inlineStr">
        <is>
          <t>Boleta Honorarios</t>
        </is>
      </c>
      <c r="C31" s="783" t="inlineStr">
        <is>
          <t>4.7</t>
        </is>
      </c>
      <c r="D31" s="784" t="inlineStr">
        <is>
          <t>Apoyo Financiero de proyecto</t>
        </is>
      </c>
      <c r="E31" s="785">
        <f>Supuestos!E33</f>
        <v/>
      </c>
      <c r="F31" s="784" t="n"/>
      <c r="G31" s="681" t="n"/>
      <c r="H31" s="787">
        <f>+$E30*H101</f>
        <v/>
      </c>
      <c r="I31" s="787">
        <f>+$E30*I101</f>
        <v/>
      </c>
      <c r="J31" s="787">
        <f>+$E30*J101</f>
        <v/>
      </c>
      <c r="K31" s="787">
        <f>+$E30*K101</f>
        <v/>
      </c>
      <c r="L31" s="787">
        <f>+$E30*L101</f>
        <v/>
      </c>
      <c r="M31" s="787">
        <f>+$E30*M101</f>
        <v/>
      </c>
      <c r="N31" s="787">
        <f>+$E30*N101</f>
        <v/>
      </c>
      <c r="O31" s="787">
        <f>+$E30*O101</f>
        <v/>
      </c>
      <c r="P31" s="787">
        <f>+$E30*P101</f>
        <v/>
      </c>
      <c r="Q31" s="787">
        <f>+$E30*Q101</f>
        <v/>
      </c>
      <c r="R31" s="787">
        <f>+$E30*R101</f>
        <v/>
      </c>
      <c r="S31" s="787">
        <f>+$E30*S101</f>
        <v/>
      </c>
      <c r="T31" s="787" t="n"/>
      <c r="U31" s="681" t="n"/>
      <c r="V31" s="787">
        <f>+$E30*V101</f>
        <v/>
      </c>
      <c r="W31" s="787">
        <f>+$E30*W101</f>
        <v/>
      </c>
      <c r="X31" s="787">
        <f>+$E30*X101</f>
        <v/>
      </c>
      <c r="Y31" s="787">
        <f>+$E30*Y101</f>
        <v/>
      </c>
      <c r="Z31" s="787">
        <f>+$E30*Z101</f>
        <v/>
      </c>
      <c r="AA31" s="787">
        <f>+$E30*AA101</f>
        <v/>
      </c>
      <c r="AB31" s="787">
        <f>+$E30*AB101</f>
        <v/>
      </c>
      <c r="AC31" s="787">
        <f>+$E30*AC101</f>
        <v/>
      </c>
      <c r="AD31" s="787">
        <f>+$E30*AD101</f>
        <v/>
      </c>
      <c r="AE31" s="787">
        <f>+$E30*AE101</f>
        <v/>
      </c>
      <c r="AF31" s="787">
        <f>+$E30*AF101</f>
        <v/>
      </c>
      <c r="AG31" s="787">
        <f>+$E30*AG101</f>
        <v/>
      </c>
      <c r="AH31" s="787" t="n"/>
      <c r="AI31" s="681" t="n"/>
      <c r="AJ31" s="787" t="n"/>
      <c r="AK31" s="681" t="n"/>
    </row>
    <row r="32" ht="14" customHeight="1" s="549">
      <c r="A32" s="686" t="n"/>
      <c r="B32" s="686" t="inlineStr">
        <is>
          <t>Boleta Honorarios</t>
        </is>
      </c>
      <c r="C32" s="788" t="inlineStr">
        <is>
          <t>4.8</t>
        </is>
      </c>
      <c r="D32" s="789" t="n"/>
      <c r="E32" s="790">
        <f>Supuestos!E34</f>
        <v/>
      </c>
      <c r="F32" s="789" t="n"/>
      <c r="G32" s="686" t="n"/>
      <c r="H32" s="782">
        <f>+$E31*H102</f>
        <v/>
      </c>
      <c r="I32" s="782">
        <f>+$E31*I102</f>
        <v/>
      </c>
      <c r="J32" s="782">
        <f>+$E31*J102</f>
        <v/>
      </c>
      <c r="K32" s="782">
        <f>+$E31*K102</f>
        <v/>
      </c>
      <c r="L32" s="782">
        <f>+$E31*L102</f>
        <v/>
      </c>
      <c r="M32" s="782">
        <f>+$E31*M102</f>
        <v/>
      </c>
      <c r="N32" s="782">
        <f>+$E31*N102</f>
        <v/>
      </c>
      <c r="O32" s="782">
        <f>+$E31*O102</f>
        <v/>
      </c>
      <c r="P32" s="782">
        <f>+$E31*P102</f>
        <v/>
      </c>
      <c r="Q32" s="782">
        <f>+$E31*Q102</f>
        <v/>
      </c>
      <c r="R32" s="782">
        <f>+$E31*R102</f>
        <v/>
      </c>
      <c r="S32" s="782">
        <f>+$E31*S102</f>
        <v/>
      </c>
      <c r="T32" s="782" t="n"/>
      <c r="U32" s="686" t="n"/>
      <c r="V32" s="782">
        <f>+$E31*V102</f>
        <v/>
      </c>
      <c r="W32" s="782">
        <f>+$E31*W102</f>
        <v/>
      </c>
      <c r="X32" s="782">
        <f>+$E31*X102</f>
        <v/>
      </c>
      <c r="Y32" s="782">
        <f>+$E31*Y102</f>
        <v/>
      </c>
      <c r="Z32" s="782">
        <f>+$E31*Z102</f>
        <v/>
      </c>
      <c r="AA32" s="782">
        <f>+$E31*AA102</f>
        <v/>
      </c>
      <c r="AB32" s="782">
        <f>+$E31*AB102</f>
        <v/>
      </c>
      <c r="AC32" s="782">
        <f>+$E31*AC102</f>
        <v/>
      </c>
      <c r="AD32" s="782">
        <f>+$E31*AD102</f>
        <v/>
      </c>
      <c r="AE32" s="782">
        <f>+$E31*AE102</f>
        <v/>
      </c>
      <c r="AF32" s="782">
        <f>+$E31*AF102</f>
        <v/>
      </c>
      <c r="AG32" s="782">
        <f>+$E31*AG102</f>
        <v/>
      </c>
      <c r="AH32" s="782" t="n"/>
      <c r="AI32" s="686" t="n"/>
      <c r="AJ32" s="782" t="n"/>
      <c r="AK32" s="686" t="n"/>
    </row>
    <row r="33" ht="11.25" customHeight="1" s="549"/>
    <row r="34" ht="14" customHeight="1" s="549">
      <c r="A34" s="681" t="n"/>
      <c r="B34" s="681" t="n"/>
      <c r="C34" s="712" t="inlineStr">
        <is>
          <t>5.</t>
        </is>
      </c>
      <c r="D34" s="688" t="inlineStr">
        <is>
          <t>Alquileres RRCC</t>
        </is>
      </c>
      <c r="E34" s="792">
        <f>+Supuestos!E36</f>
        <v/>
      </c>
      <c r="F34" s="688">
        <f>+F104</f>
        <v/>
      </c>
      <c r="G34" s="681" t="n"/>
      <c r="H34" s="787">
        <f>+SUM(H34:H35)</f>
        <v/>
      </c>
      <c r="I34" s="787">
        <f>+SUM(I34:I35)</f>
        <v/>
      </c>
      <c r="J34" s="787">
        <f>+SUM(J34:J35)</f>
        <v/>
      </c>
      <c r="K34" s="787">
        <f>+SUM(K34:K35)</f>
        <v/>
      </c>
      <c r="L34" s="787">
        <f>+SUM(L34:L35)</f>
        <v/>
      </c>
      <c r="M34" s="787">
        <f>+SUM(M34:M35)</f>
        <v/>
      </c>
      <c r="N34" s="787">
        <f>+SUM(N34:N35)</f>
        <v/>
      </c>
      <c r="O34" s="787">
        <f>+SUM(O34:O35)</f>
        <v/>
      </c>
      <c r="P34" s="787">
        <f>+SUM(P34:P35)</f>
        <v/>
      </c>
      <c r="Q34" s="787">
        <f>+SUM(Q34:Q35)</f>
        <v/>
      </c>
      <c r="R34" s="787">
        <f>+SUM(R34:R35)</f>
        <v/>
      </c>
      <c r="S34" s="787">
        <f>+SUM(S34:S35)</f>
        <v/>
      </c>
      <c r="T34" s="787">
        <f>SUM(H33:S33)</f>
        <v/>
      </c>
      <c r="U34" s="681" t="n"/>
      <c r="V34" s="787">
        <f>+SUM(V34:V35)</f>
        <v/>
      </c>
      <c r="W34" s="787">
        <f>+SUM(W34:W35)</f>
        <v/>
      </c>
      <c r="X34" s="787">
        <f>+SUM(X34:X35)</f>
        <v/>
      </c>
      <c r="Y34" s="787">
        <f>+SUM(Y34:Y35)</f>
        <v/>
      </c>
      <c r="Z34" s="787">
        <f>+SUM(Z34:Z35)</f>
        <v/>
      </c>
      <c r="AA34" s="787">
        <f>+SUM(AA34:AA35)</f>
        <v/>
      </c>
      <c r="AB34" s="787">
        <f>+SUM(AB34:AB35)</f>
        <v/>
      </c>
      <c r="AC34" s="787">
        <f>+SUM(AC34:AC35)</f>
        <v/>
      </c>
      <c r="AD34" s="787">
        <f>+SUM(AD34:AD35)</f>
        <v/>
      </c>
      <c r="AE34" s="787">
        <f>+SUM(AE34:AE35)</f>
        <v/>
      </c>
      <c r="AF34" s="787">
        <f>+SUM(AF34:AF35)</f>
        <v/>
      </c>
      <c r="AG34" s="787">
        <f>+SUM(AG34:AG35)</f>
        <v/>
      </c>
      <c r="AH34" s="787">
        <f>SUM(V33:AG33)</f>
        <v/>
      </c>
      <c r="AI34" s="681" t="n"/>
      <c r="AJ34" s="787">
        <f>+AH33+T33</f>
        <v/>
      </c>
      <c r="AK34" s="681" t="n"/>
    </row>
    <row r="35" ht="14" customHeight="1" s="549">
      <c r="A35" s="686" t="n"/>
      <c r="B35" s="686" t="inlineStr">
        <is>
          <t>Factura</t>
        </is>
      </c>
      <c r="C35" s="788" t="inlineStr">
        <is>
          <t>5.1</t>
        </is>
      </c>
      <c r="D35" s="789" t="inlineStr">
        <is>
          <t>Arriendo vehículo diario - RRCC</t>
        </is>
      </c>
      <c r="E35" s="790">
        <f>+Supuestos!E37</f>
        <v/>
      </c>
      <c r="F35" s="789">
        <f>+F105</f>
        <v/>
      </c>
      <c r="G35" s="686" t="n"/>
      <c r="H35" s="782">
        <f>+$E34*H105</f>
        <v/>
      </c>
      <c r="I35" s="782">
        <f>+$E34*I105</f>
        <v/>
      </c>
      <c r="J35" s="782">
        <f>+$E34*J105</f>
        <v/>
      </c>
      <c r="K35" s="782">
        <f>+$E34*K105</f>
        <v/>
      </c>
      <c r="L35" s="782">
        <f>+$E34*L105</f>
        <v/>
      </c>
      <c r="M35" s="782">
        <f>+$E34*M105</f>
        <v/>
      </c>
      <c r="N35" s="782">
        <f>+$E34*N105</f>
        <v/>
      </c>
      <c r="O35" s="782">
        <f>+$E34*O105</f>
        <v/>
      </c>
      <c r="P35" s="782">
        <f>+$E34*P105</f>
        <v/>
      </c>
      <c r="Q35" s="782">
        <f>+$E34*Q105</f>
        <v/>
      </c>
      <c r="R35" s="782">
        <f>+$E34*R105</f>
        <v/>
      </c>
      <c r="S35" s="782">
        <f>+$E34*S105</f>
        <v/>
      </c>
      <c r="T35" s="782" t="n"/>
      <c r="U35" s="686" t="n"/>
      <c r="V35" s="782">
        <f>+$E34*V105</f>
        <v/>
      </c>
      <c r="W35" s="782">
        <f>+$E34*W105</f>
        <v/>
      </c>
      <c r="X35" s="782">
        <f>+$E34*X105</f>
        <v/>
      </c>
      <c r="Y35" s="782">
        <f>+$E34*Y105</f>
        <v/>
      </c>
      <c r="Z35" s="782">
        <f>+$E34*Z105</f>
        <v/>
      </c>
      <c r="AA35" s="782">
        <f>+$E34*AA105</f>
        <v/>
      </c>
      <c r="AB35" s="782">
        <f>+$E34*AB105</f>
        <v/>
      </c>
      <c r="AC35" s="782">
        <f>+$E34*AC105</f>
        <v/>
      </c>
      <c r="AD35" s="782">
        <f>+$E34*AD105</f>
        <v/>
      </c>
      <c r="AE35" s="782">
        <f>+$E34*AE105</f>
        <v/>
      </c>
      <c r="AF35" s="782">
        <f>+$E34*AF105</f>
        <v/>
      </c>
      <c r="AG35" s="782">
        <f>+$E34*AG105</f>
        <v/>
      </c>
      <c r="AH35" s="782" t="n"/>
      <c r="AI35" s="686" t="n"/>
      <c r="AJ35" s="782" t="n"/>
      <c r="AK35" s="686" t="n"/>
    </row>
    <row r="36" ht="14" customHeight="1" s="549">
      <c r="A36" s="681" t="n"/>
      <c r="B36" s="681" t="inlineStr">
        <is>
          <t>Factura</t>
        </is>
      </c>
      <c r="C36" s="783" t="inlineStr">
        <is>
          <t>5.2</t>
        </is>
      </c>
      <c r="D36" s="784" t="inlineStr">
        <is>
          <t>Vehiculo RRCC</t>
        </is>
      </c>
      <c r="E36" s="785">
        <f>+Supuestos!E38</f>
        <v/>
      </c>
      <c r="F36" s="784">
        <f>+F106</f>
        <v/>
      </c>
      <c r="G36" s="681" t="n"/>
      <c r="H36" s="787">
        <f>+$E35*H106</f>
        <v/>
      </c>
      <c r="I36" s="787">
        <f>+$E35*I106</f>
        <v/>
      </c>
      <c r="J36" s="787">
        <f>+$E35*J106</f>
        <v/>
      </c>
      <c r="K36" s="787">
        <f>+$E35*K106</f>
        <v/>
      </c>
      <c r="L36" s="787">
        <f>+$E35*L106</f>
        <v/>
      </c>
      <c r="M36" s="787">
        <f>+$E35*M106</f>
        <v/>
      </c>
      <c r="N36" s="787">
        <f>+$E35*N106</f>
        <v/>
      </c>
      <c r="O36" s="787">
        <f>+$E35*O106</f>
        <v/>
      </c>
      <c r="P36" s="787">
        <f>+$E35*P106</f>
        <v/>
      </c>
      <c r="Q36" s="787">
        <f>+$E35*Q106</f>
        <v/>
      </c>
      <c r="R36" s="787">
        <f>+$E35*R106</f>
        <v/>
      </c>
      <c r="S36" s="787">
        <f>+$E35*S106</f>
        <v/>
      </c>
      <c r="T36" s="787" t="n"/>
      <c r="U36" s="681" t="n"/>
      <c r="V36" s="787">
        <f>+$E35*V106</f>
        <v/>
      </c>
      <c r="W36" s="787">
        <f>+$E35*W106</f>
        <v/>
      </c>
      <c r="X36" s="787">
        <f>+$E35*X106</f>
        <v/>
      </c>
      <c r="Y36" s="787">
        <f>+$E35*Y106</f>
        <v/>
      </c>
      <c r="Z36" s="787">
        <f>+$E35*Z106</f>
        <v/>
      </c>
      <c r="AA36" s="787">
        <f>+$E35*AA106</f>
        <v/>
      </c>
      <c r="AB36" s="787">
        <f>+$E35*AB106</f>
        <v/>
      </c>
      <c r="AC36" s="787">
        <f>+$E35*AC106</f>
        <v/>
      </c>
      <c r="AD36" s="787">
        <f>+$E35*AD106</f>
        <v/>
      </c>
      <c r="AE36" s="787">
        <f>+$E35*AE106</f>
        <v/>
      </c>
      <c r="AF36" s="787">
        <f>+$E35*AF106</f>
        <v/>
      </c>
      <c r="AG36" s="787">
        <f>+$E35*AG106</f>
        <v/>
      </c>
      <c r="AH36" s="787" t="n"/>
      <c r="AI36" s="681" t="n"/>
      <c r="AJ36" s="787" t="n"/>
      <c r="AK36" s="681" t="n"/>
    </row>
    <row r="37" ht="14" customHeight="1" s="549">
      <c r="A37" s="686" t="n"/>
      <c r="B37" s="686" t="n"/>
      <c r="C37" s="771" t="inlineStr">
        <is>
          <t>6.</t>
        </is>
      </c>
      <c r="D37" s="682" t="inlineStr">
        <is>
          <t>Alquileres Gestión Técnica</t>
        </is>
      </c>
      <c r="E37" s="780">
        <f>+Supuestos!E39</f>
        <v/>
      </c>
      <c r="F37" s="682">
        <f>+F107</f>
        <v/>
      </c>
      <c r="G37" s="686" t="n"/>
      <c r="H37" s="782">
        <f>+SUM(H37:H40)</f>
        <v/>
      </c>
      <c r="I37" s="782">
        <f>+SUM(I37:I40)</f>
        <v/>
      </c>
      <c r="J37" s="782">
        <f>+SUM(J37:J40)</f>
        <v/>
      </c>
      <c r="K37" s="782">
        <f>+SUM(K37:K40)</f>
        <v/>
      </c>
      <c r="L37" s="782">
        <f>+SUM(L37:L40)</f>
        <v/>
      </c>
      <c r="M37" s="782">
        <f>+SUM(M37:M40)</f>
        <v/>
      </c>
      <c r="N37" s="782">
        <f>+SUM(N37:N40)</f>
        <v/>
      </c>
      <c r="O37" s="782">
        <f>+SUM(O37:O40)</f>
        <v/>
      </c>
      <c r="P37" s="782">
        <f>+SUM(P37:P40)</f>
        <v/>
      </c>
      <c r="Q37" s="782">
        <f>+SUM(Q37:Q40)</f>
        <v/>
      </c>
      <c r="R37" s="782">
        <f>+SUM(R37:R40)</f>
        <v/>
      </c>
      <c r="S37" s="782">
        <f>+SUM(S37:S40)</f>
        <v/>
      </c>
      <c r="T37" s="782">
        <f>SUM(H36:S36)</f>
        <v/>
      </c>
      <c r="U37" s="686" t="n"/>
      <c r="V37" s="782">
        <f>+SUM(V37:V40)</f>
        <v/>
      </c>
      <c r="W37" s="782">
        <f>+SUM(W37:W40)</f>
        <v/>
      </c>
      <c r="X37" s="782">
        <f>+SUM(X37:X40)</f>
        <v/>
      </c>
      <c r="Y37" s="782">
        <f>+SUM(Y37:Y40)</f>
        <v/>
      </c>
      <c r="Z37" s="782">
        <f>+SUM(Z37:Z40)</f>
        <v/>
      </c>
      <c r="AA37" s="782">
        <f>+SUM(AA37:AA40)</f>
        <v/>
      </c>
      <c r="AB37" s="782">
        <f>+SUM(AB37:AB40)</f>
        <v/>
      </c>
      <c r="AC37" s="782">
        <f>+SUM(AC37:AC40)</f>
        <v/>
      </c>
      <c r="AD37" s="782">
        <f>+SUM(AD37:AD40)</f>
        <v/>
      </c>
      <c r="AE37" s="782">
        <f>+SUM(AE37:AE40)</f>
        <v/>
      </c>
      <c r="AF37" s="782">
        <f>+SUM(AF37:AF40)</f>
        <v/>
      </c>
      <c r="AG37" s="782">
        <f>+SUM(AG37:AG40)</f>
        <v/>
      </c>
      <c r="AH37" s="782">
        <f>SUM(V36:AG36)</f>
        <v/>
      </c>
      <c r="AI37" s="686" t="n"/>
      <c r="AJ37" s="782">
        <f>+AH36+T36</f>
        <v/>
      </c>
      <c r="AK37" s="686" t="n"/>
    </row>
    <row r="38" ht="14" customHeight="1" s="549">
      <c r="A38" s="681" t="n"/>
      <c r="B38" s="681" t="inlineStr">
        <is>
          <t>Factura</t>
        </is>
      </c>
      <c r="C38" s="783" t="inlineStr">
        <is>
          <t>6.1</t>
        </is>
      </c>
      <c r="D38" s="784" t="inlineStr">
        <is>
          <t>Bodega Terreno</t>
        </is>
      </c>
      <c r="E38" s="785">
        <f>+Supuestos!E40</f>
        <v/>
      </c>
      <c r="F38" s="784">
        <f>+F108</f>
        <v/>
      </c>
      <c r="G38" s="681" t="n"/>
      <c r="H38" s="787">
        <f>+$E37*H108</f>
        <v/>
      </c>
      <c r="I38" s="787">
        <f>+$E37*I108</f>
        <v/>
      </c>
      <c r="J38" s="787">
        <f>+$E37*J108</f>
        <v/>
      </c>
      <c r="K38" s="787">
        <f>+$E37*K108</f>
        <v/>
      </c>
      <c r="L38" s="787">
        <f>+$E37*L108</f>
        <v/>
      </c>
      <c r="M38" s="787">
        <f>+$E37*M108</f>
        <v/>
      </c>
      <c r="N38" s="787">
        <f>+$E37*N108</f>
        <v/>
      </c>
      <c r="O38" s="787">
        <f>+$E37*O108</f>
        <v/>
      </c>
      <c r="P38" s="787">
        <f>+$E37*P108</f>
        <v/>
      </c>
      <c r="Q38" s="787">
        <f>+$E37*Q108</f>
        <v/>
      </c>
      <c r="R38" s="787">
        <f>+$E37*R108</f>
        <v/>
      </c>
      <c r="S38" s="787">
        <f>+$E37*S108</f>
        <v/>
      </c>
      <c r="T38" s="787" t="n"/>
      <c r="U38" s="681" t="n"/>
      <c r="V38" s="787">
        <f>+$E37*V108</f>
        <v/>
      </c>
      <c r="W38" s="787">
        <f>+$E37*W108</f>
        <v/>
      </c>
      <c r="X38" s="787">
        <f>+$E37*X108</f>
        <v/>
      </c>
      <c r="Y38" s="787">
        <f>+$E37*Y108</f>
        <v/>
      </c>
      <c r="Z38" s="787">
        <f>+$E37*Z108</f>
        <v/>
      </c>
      <c r="AA38" s="787">
        <f>+$E37*AA108</f>
        <v/>
      </c>
      <c r="AB38" s="787">
        <f>+$E37*AB108</f>
        <v/>
      </c>
      <c r="AC38" s="787">
        <f>+$E37*AC108</f>
        <v/>
      </c>
      <c r="AD38" s="787">
        <f>+$E37*AD108</f>
        <v/>
      </c>
      <c r="AE38" s="787">
        <f>+$E37*AE108</f>
        <v/>
      </c>
      <c r="AF38" s="787">
        <f>+$E37*AF108</f>
        <v/>
      </c>
      <c r="AG38" s="787">
        <f>+$E37*AG108</f>
        <v/>
      </c>
      <c r="AH38" s="787" t="n"/>
      <c r="AI38" s="681" t="n"/>
      <c r="AJ38" s="787" t="n"/>
      <c r="AK38" s="681" t="n"/>
    </row>
    <row r="39" ht="14" customHeight="1" s="549">
      <c r="A39" s="686" t="n"/>
      <c r="B39" s="686" t="inlineStr">
        <is>
          <t>Factura</t>
        </is>
      </c>
      <c r="C39" s="788" t="inlineStr">
        <is>
          <t>6.2</t>
        </is>
      </c>
      <c r="D39" s="789" t="inlineStr">
        <is>
          <t>Arriendo vehículo diario - Área Técnica</t>
        </is>
      </c>
      <c r="E39" s="790">
        <f>+Supuestos!E41</f>
        <v/>
      </c>
      <c r="F39" s="789">
        <f>+F109</f>
        <v/>
      </c>
      <c r="G39" s="686" t="n"/>
      <c r="H39" s="782">
        <f>+$E38*H109</f>
        <v/>
      </c>
      <c r="I39" s="782">
        <f>+$E38*I109</f>
        <v/>
      </c>
      <c r="J39" s="782">
        <f>+$E38*J109</f>
        <v/>
      </c>
      <c r="K39" s="782">
        <f>+$E38*K109</f>
        <v/>
      </c>
      <c r="L39" s="782">
        <f>+$E38*L109</f>
        <v/>
      </c>
      <c r="M39" s="782">
        <f>+$E38*M109</f>
        <v/>
      </c>
      <c r="N39" s="782">
        <f>+$E38*N109</f>
        <v/>
      </c>
      <c r="O39" s="782">
        <f>+$E38*O109</f>
        <v/>
      </c>
      <c r="P39" s="782">
        <f>+$E38*P109</f>
        <v/>
      </c>
      <c r="Q39" s="782">
        <f>+$E38*Q109</f>
        <v/>
      </c>
      <c r="R39" s="782">
        <f>+$E38*R109</f>
        <v/>
      </c>
      <c r="S39" s="782">
        <f>+$E38*S109</f>
        <v/>
      </c>
      <c r="T39" s="782" t="n"/>
      <c r="U39" s="686" t="n"/>
      <c r="V39" s="782">
        <f>+$E38*V109</f>
        <v/>
      </c>
      <c r="W39" s="782">
        <f>+$E38*W109</f>
        <v/>
      </c>
      <c r="X39" s="782">
        <f>+$E38*X109</f>
        <v/>
      </c>
      <c r="Y39" s="782">
        <f>+$E38*Y109</f>
        <v/>
      </c>
      <c r="Z39" s="782">
        <f>+$E38*Z109</f>
        <v/>
      </c>
      <c r="AA39" s="782">
        <f>+$E38*AA109</f>
        <v/>
      </c>
      <c r="AB39" s="782">
        <f>+$E38*AB109</f>
        <v/>
      </c>
      <c r="AC39" s="782">
        <f>+$E38*AC109</f>
        <v/>
      </c>
      <c r="AD39" s="782">
        <f>+$E38*AD109</f>
        <v/>
      </c>
      <c r="AE39" s="782">
        <f>+$E38*AE109</f>
        <v/>
      </c>
      <c r="AF39" s="782">
        <f>+$E38*AF109</f>
        <v/>
      </c>
      <c r="AG39" s="782">
        <f>+$E38*AG109</f>
        <v/>
      </c>
      <c r="AH39" s="782" t="n"/>
      <c r="AI39" s="686" t="n"/>
      <c r="AJ39" s="782" t="n"/>
      <c r="AK39" s="686" t="n"/>
    </row>
    <row r="40" ht="14" customHeight="1" s="549">
      <c r="A40" s="681" t="n"/>
      <c r="B40" s="681" t="inlineStr">
        <is>
          <t>Factura</t>
        </is>
      </c>
      <c r="C40" s="783" t="inlineStr">
        <is>
          <t>6.3</t>
        </is>
      </c>
      <c r="D40" s="784" t="inlineStr">
        <is>
          <t>Vehiculo Instaladores</t>
        </is>
      </c>
      <c r="E40" s="785">
        <f>+Supuestos!E42</f>
        <v/>
      </c>
      <c r="F40" s="784">
        <f>+F110</f>
        <v/>
      </c>
      <c r="G40" s="681" t="n"/>
      <c r="H40" s="787">
        <f>+$E39*H110</f>
        <v/>
      </c>
      <c r="I40" s="787">
        <f>+$E39*I110</f>
        <v/>
      </c>
      <c r="J40" s="787">
        <f>+$E39*J110</f>
        <v/>
      </c>
      <c r="K40" s="787">
        <f>+$E39*K110</f>
        <v/>
      </c>
      <c r="L40" s="787">
        <f>+$E39*L110</f>
        <v/>
      </c>
      <c r="M40" s="787">
        <f>+$E39*M110</f>
        <v/>
      </c>
      <c r="N40" s="787">
        <f>+$E39*N110</f>
        <v/>
      </c>
      <c r="O40" s="787">
        <f>+$E39*O110</f>
        <v/>
      </c>
      <c r="P40" s="787">
        <f>+$E39*P110</f>
        <v/>
      </c>
      <c r="Q40" s="787">
        <f>+$E39*Q110</f>
        <v/>
      </c>
      <c r="R40" s="787">
        <f>+$E39*R110</f>
        <v/>
      </c>
      <c r="S40" s="787">
        <f>+$E39*S110</f>
        <v/>
      </c>
      <c r="T40" s="787" t="n"/>
      <c r="U40" s="681" t="n"/>
      <c r="V40" s="787">
        <f>+$E39*V110</f>
        <v/>
      </c>
      <c r="W40" s="787">
        <f>+$E39*W110</f>
        <v/>
      </c>
      <c r="X40" s="787">
        <f>+$E39*X110</f>
        <v/>
      </c>
      <c r="Y40" s="787">
        <f>+$E39*Y110</f>
        <v/>
      </c>
      <c r="Z40" s="787">
        <f>+$E39*Z110</f>
        <v/>
      </c>
      <c r="AA40" s="787">
        <f>+$E39*AA110</f>
        <v/>
      </c>
      <c r="AB40" s="787">
        <f>+$E39*AB110</f>
        <v/>
      </c>
      <c r="AC40" s="787">
        <f>+$E39*AC110</f>
        <v/>
      </c>
      <c r="AD40" s="787">
        <f>+$E39*AD110</f>
        <v/>
      </c>
      <c r="AE40" s="787">
        <f>+$E39*AE110</f>
        <v/>
      </c>
      <c r="AF40" s="787">
        <f>+$E39*AF110</f>
        <v/>
      </c>
      <c r="AG40" s="787">
        <f>+$E39*AG110</f>
        <v/>
      </c>
      <c r="AH40" s="787" t="n"/>
      <c r="AI40" s="681" t="n"/>
      <c r="AJ40" s="787" t="n"/>
      <c r="AK40" s="681" t="n"/>
    </row>
    <row r="41" ht="14" customHeight="1" s="549">
      <c r="A41" s="686" t="n"/>
      <c r="B41" s="686" t="inlineStr">
        <is>
          <t>Factura</t>
        </is>
      </c>
      <c r="C41" s="788" t="inlineStr">
        <is>
          <t>6.4</t>
        </is>
      </c>
      <c r="D41" s="789" t="inlineStr">
        <is>
          <t>Vehiculo Transporte (Maxus Deliver 9)</t>
        </is>
      </c>
      <c r="E41" s="790">
        <f>+Supuestos!E43</f>
        <v/>
      </c>
      <c r="F41" s="789">
        <f>+F111</f>
        <v/>
      </c>
      <c r="G41" s="686" t="n"/>
      <c r="H41" s="782">
        <f>+$E40*H111</f>
        <v/>
      </c>
      <c r="I41" s="782">
        <f>+$E40*I111</f>
        <v/>
      </c>
      <c r="J41" s="782">
        <f>+$E40*J111</f>
        <v/>
      </c>
      <c r="K41" s="782">
        <f>+$E40*K111</f>
        <v/>
      </c>
      <c r="L41" s="782">
        <f>+$E40*L111</f>
        <v/>
      </c>
      <c r="M41" s="782">
        <f>+$E40*M111</f>
        <v/>
      </c>
      <c r="N41" s="782">
        <f>+$E40*N111</f>
        <v/>
      </c>
      <c r="O41" s="782">
        <f>+$E40*O111</f>
        <v/>
      </c>
      <c r="P41" s="782">
        <f>+$E40*P111</f>
        <v/>
      </c>
      <c r="Q41" s="782">
        <f>+$E40*Q111</f>
        <v/>
      </c>
      <c r="R41" s="782">
        <f>+$E40*R111</f>
        <v/>
      </c>
      <c r="S41" s="782">
        <f>+$E40*S111</f>
        <v/>
      </c>
      <c r="T41" s="782" t="n"/>
      <c r="U41" s="686" t="n"/>
      <c r="V41" s="782">
        <f>+$E40*V111</f>
        <v/>
      </c>
      <c r="W41" s="782">
        <f>+$E40*W111</f>
        <v/>
      </c>
      <c r="X41" s="782">
        <f>+$E40*X111</f>
        <v/>
      </c>
      <c r="Y41" s="782">
        <f>+$E40*Y111</f>
        <v/>
      </c>
      <c r="Z41" s="782">
        <f>+$E40*Z111</f>
        <v/>
      </c>
      <c r="AA41" s="782">
        <f>+$E40*AA111</f>
        <v/>
      </c>
      <c r="AB41" s="782">
        <f>+$E40*AB111</f>
        <v/>
      </c>
      <c r="AC41" s="782">
        <f>+$E40*AC111</f>
        <v/>
      </c>
      <c r="AD41" s="782">
        <f>+$E40*AD111</f>
        <v/>
      </c>
      <c r="AE41" s="782">
        <f>+$E40*AE111</f>
        <v/>
      </c>
      <c r="AF41" s="782">
        <f>+$E40*AF111</f>
        <v/>
      </c>
      <c r="AG41" s="782">
        <f>+$E40*AG111</f>
        <v/>
      </c>
      <c r="AH41" s="782" t="n"/>
      <c r="AI41" s="686" t="n"/>
      <c r="AJ41" s="782" t="n"/>
      <c r="AK41" s="686" t="n"/>
    </row>
    <row r="42" ht="14" customHeight="1" s="549">
      <c r="A42" s="681" t="n"/>
      <c r="B42" s="681" t="n"/>
      <c r="C42" s="712" t="inlineStr">
        <is>
          <t>7.</t>
        </is>
      </c>
      <c r="D42" s="688" t="inlineStr">
        <is>
          <t>Transporte</t>
        </is>
      </c>
      <c r="E42" s="792">
        <f>+Supuestos!E44</f>
        <v/>
      </c>
      <c r="F42" s="688">
        <f>+F112</f>
        <v/>
      </c>
      <c r="G42" s="681" t="n"/>
      <c r="H42" s="787">
        <f>+SUM(H42:H48)</f>
        <v/>
      </c>
      <c r="I42" s="787">
        <f>+SUM(I42:I48)</f>
        <v/>
      </c>
      <c r="J42" s="787">
        <f>+SUM(J42:J48)</f>
        <v/>
      </c>
      <c r="K42" s="787">
        <f>+SUM(K42:K48)</f>
        <v/>
      </c>
      <c r="L42" s="787">
        <f>+SUM(L42:L48)</f>
        <v/>
      </c>
      <c r="M42" s="787">
        <f>+SUM(M42:M48)</f>
        <v/>
      </c>
      <c r="N42" s="787">
        <f>+SUM(N42:N48)</f>
        <v/>
      </c>
      <c r="O42" s="787">
        <f>+SUM(O42:O48)</f>
        <v/>
      </c>
      <c r="P42" s="787">
        <f>+SUM(P42:P48)</f>
        <v/>
      </c>
      <c r="Q42" s="787">
        <f>+SUM(Q42:Q48)</f>
        <v/>
      </c>
      <c r="R42" s="787">
        <f>+SUM(R42:R48)</f>
        <v/>
      </c>
      <c r="S42" s="787">
        <f>+SUM(S42:S48)</f>
        <v/>
      </c>
      <c r="T42" s="787">
        <f>SUM(H41:S41)</f>
        <v/>
      </c>
      <c r="U42" s="681" t="n"/>
      <c r="V42" s="787">
        <f>+SUM(V42:V48)</f>
        <v/>
      </c>
      <c r="W42" s="787">
        <f>+SUM(W42:W48)</f>
        <v/>
      </c>
      <c r="X42" s="787">
        <f>+SUM(X42:X48)</f>
        <v/>
      </c>
      <c r="Y42" s="787">
        <f>+SUM(Y42:Y48)</f>
        <v/>
      </c>
      <c r="Z42" s="787">
        <f>+SUM(Z42:Z48)</f>
        <v/>
      </c>
      <c r="AA42" s="787">
        <f>+SUM(AA42:AA48)</f>
        <v/>
      </c>
      <c r="AB42" s="787">
        <f>+SUM(AB42:AB48)</f>
        <v/>
      </c>
      <c r="AC42" s="787">
        <f>+SUM(AC42:AC48)</f>
        <v/>
      </c>
      <c r="AD42" s="787">
        <f>+SUM(AD42:AD48)</f>
        <v/>
      </c>
      <c r="AE42" s="787">
        <f>+SUM(AE42:AE48)</f>
        <v/>
      </c>
      <c r="AF42" s="787">
        <f>+SUM(AF42:AF48)</f>
        <v/>
      </c>
      <c r="AG42" s="787">
        <f>+SUM(AG42:AG48)</f>
        <v/>
      </c>
      <c r="AH42" s="787">
        <f>SUM(V41:AG41)</f>
        <v/>
      </c>
      <c r="AI42" s="681" t="n"/>
      <c r="AJ42" s="787">
        <f>+AH41+T41</f>
        <v/>
      </c>
      <c r="AK42" s="681" t="n"/>
    </row>
    <row r="43" ht="14" customHeight="1" s="549">
      <c r="A43" s="686" t="n"/>
      <c r="B43" s="686" t="inlineStr">
        <is>
          <t>Factura</t>
        </is>
      </c>
      <c r="C43" s="788" t="inlineStr">
        <is>
          <t>7.1</t>
        </is>
      </c>
      <c r="D43" s="789" t="inlineStr">
        <is>
          <t>Transporte ZIMPERTEC</t>
        </is>
      </c>
      <c r="E43" s="790">
        <f>+Supuestos!E45</f>
        <v/>
      </c>
      <c r="F43" s="789">
        <f>+F113</f>
        <v/>
      </c>
      <c r="G43" s="686" t="n"/>
      <c r="H43" s="782">
        <f>+$E42*H113</f>
        <v/>
      </c>
      <c r="I43" s="782">
        <f>+$E42*I113</f>
        <v/>
      </c>
      <c r="J43" s="782">
        <f>+$E42*J113</f>
        <v/>
      </c>
      <c r="K43" s="782">
        <f>+$E42*K113</f>
        <v/>
      </c>
      <c r="L43" s="782">
        <f>+$E42*L113</f>
        <v/>
      </c>
      <c r="M43" s="782">
        <f>+$E42*M113</f>
        <v/>
      </c>
      <c r="N43" s="782">
        <f>+$E42*N113</f>
        <v/>
      </c>
      <c r="O43" s="782">
        <f>+$E42*O113</f>
        <v/>
      </c>
      <c r="P43" s="782">
        <f>+$E42*P113</f>
        <v/>
      </c>
      <c r="Q43" s="782">
        <f>+$E42*Q113</f>
        <v/>
      </c>
      <c r="R43" s="782">
        <f>+$E42*R113</f>
        <v/>
      </c>
      <c r="S43" s="782">
        <f>+$E42*S113</f>
        <v/>
      </c>
      <c r="T43" s="782" t="n"/>
      <c r="U43" s="686" t="n"/>
      <c r="V43" s="782">
        <f>+$E42*V113</f>
        <v/>
      </c>
      <c r="W43" s="782">
        <f>+$E42*W113</f>
        <v/>
      </c>
      <c r="X43" s="782">
        <f>+$E42*X113</f>
        <v/>
      </c>
      <c r="Y43" s="782">
        <f>+$E42*Y113</f>
        <v/>
      </c>
      <c r="Z43" s="782">
        <f>+$E42*Z113</f>
        <v/>
      </c>
      <c r="AA43" s="782">
        <f>+$E42*AA113</f>
        <v/>
      </c>
      <c r="AB43" s="782">
        <f>+$E42*AB113</f>
        <v/>
      </c>
      <c r="AC43" s="782">
        <f>+$E42*AC113</f>
        <v/>
      </c>
      <c r="AD43" s="782">
        <f>+$E42*AD113</f>
        <v/>
      </c>
      <c r="AE43" s="782">
        <f>+$E42*AE113</f>
        <v/>
      </c>
      <c r="AF43" s="782">
        <f>+$E42*AF113</f>
        <v/>
      </c>
      <c r="AG43" s="782">
        <f>+$E42*AG113</f>
        <v/>
      </c>
      <c r="AH43" s="782" t="n"/>
      <c r="AI43" s="686" t="n"/>
      <c r="AJ43" s="782" t="n"/>
      <c r="AK43" s="686" t="n"/>
    </row>
    <row r="44" ht="11.25" customHeight="1" s="549"/>
    <row r="45" ht="14" customHeight="1" s="549">
      <c r="A45" s="681" t="n"/>
      <c r="B45" s="681" t="inlineStr">
        <is>
          <t>Factura</t>
        </is>
      </c>
      <c r="C45" s="783" t="inlineStr">
        <is>
          <t>7.3</t>
        </is>
      </c>
      <c r="D45" s="784" t="inlineStr">
        <is>
          <t>Traslado Contenedor (ida y vuelta)</t>
        </is>
      </c>
      <c r="E45" s="785">
        <f>+Supuestos!E47</f>
        <v/>
      </c>
      <c r="F45" s="784">
        <f>+F115</f>
        <v/>
      </c>
      <c r="G45" s="681" t="n"/>
      <c r="H45" s="787">
        <f>+$E44*H115</f>
        <v/>
      </c>
      <c r="I45" s="787">
        <f>+$E44*I115</f>
        <v/>
      </c>
      <c r="J45" s="787">
        <f>+$E44*J115</f>
        <v/>
      </c>
      <c r="K45" s="787">
        <f>+$E44*K115</f>
        <v/>
      </c>
      <c r="L45" s="787">
        <f>+$E44*L115</f>
        <v/>
      </c>
      <c r="M45" s="787">
        <f>+$E44*M115</f>
        <v/>
      </c>
      <c r="N45" s="787">
        <f>+$E44*N115</f>
        <v/>
      </c>
      <c r="O45" s="787">
        <f>+$E44*O115</f>
        <v/>
      </c>
      <c r="P45" s="787">
        <f>+$E44*P115</f>
        <v/>
      </c>
      <c r="Q45" s="787">
        <f>+$E44*Q115</f>
        <v/>
      </c>
      <c r="R45" s="787">
        <f>+$E44*R115</f>
        <v/>
      </c>
      <c r="S45" s="787">
        <f>+$E44*S115</f>
        <v/>
      </c>
      <c r="T45" s="787" t="n"/>
      <c r="U45" s="681" t="n"/>
      <c r="V45" s="787">
        <f>+$E44*V115</f>
        <v/>
      </c>
      <c r="W45" s="787">
        <f>+$E44*W115</f>
        <v/>
      </c>
      <c r="X45" s="787">
        <f>+$E44*X115</f>
        <v/>
      </c>
      <c r="Y45" s="787">
        <f>+$E44*Y115</f>
        <v/>
      </c>
      <c r="Z45" s="787">
        <f>+$E44*Z115</f>
        <v/>
      </c>
      <c r="AA45" s="787">
        <f>+$E44*AA115</f>
        <v/>
      </c>
      <c r="AB45" s="787">
        <f>+$E44*AB115</f>
        <v/>
      </c>
      <c r="AC45" s="787">
        <f>+$E44*AC115</f>
        <v/>
      </c>
      <c r="AD45" s="787">
        <f>+$E44*AD115</f>
        <v/>
      </c>
      <c r="AE45" s="787">
        <f>+$E44*AE115</f>
        <v/>
      </c>
      <c r="AF45" s="787">
        <f>+$E44*AF115</f>
        <v/>
      </c>
      <c r="AG45" s="787">
        <f>+$E44*AG115</f>
        <v/>
      </c>
      <c r="AH45" s="787" t="n"/>
      <c r="AI45" s="681" t="n"/>
      <c r="AJ45" s="787" t="n"/>
      <c r="AK45" s="681" t="n"/>
    </row>
    <row r="46" ht="14" customHeight="1" s="549">
      <c r="A46" s="686" t="n"/>
      <c r="B46" s="686" t="inlineStr">
        <is>
          <t>Factura</t>
        </is>
      </c>
      <c r="C46" s="788" t="inlineStr">
        <is>
          <t>7.4</t>
        </is>
      </c>
      <c r="D46" s="789" t="inlineStr">
        <is>
          <t>Camión Transporte Origen - Punto Destino (RAMPLA ABIERTA)</t>
        </is>
      </c>
      <c r="E46" s="790">
        <f>+Supuestos!E48</f>
        <v/>
      </c>
      <c r="F46" s="789">
        <f>+F116</f>
        <v/>
      </c>
      <c r="G46" s="686" t="n"/>
      <c r="H46" s="782">
        <f>+$E45*H116</f>
        <v/>
      </c>
      <c r="I46" s="782">
        <f>+$E45*I116</f>
        <v/>
      </c>
      <c r="J46" s="782">
        <f>+$E45*J116</f>
        <v/>
      </c>
      <c r="K46" s="782">
        <f>+$E45*K116</f>
        <v/>
      </c>
      <c r="L46" s="782">
        <f>+$E45*L116</f>
        <v/>
      </c>
      <c r="M46" s="782">
        <f>+$E45*M116</f>
        <v/>
      </c>
      <c r="N46" s="782">
        <f>+$E45*N116</f>
        <v/>
      </c>
      <c r="O46" s="782">
        <f>+$E45*O116</f>
        <v/>
      </c>
      <c r="P46" s="782">
        <f>+$E45*P116</f>
        <v/>
      </c>
      <c r="Q46" s="782">
        <f>+$E45*Q116</f>
        <v/>
      </c>
      <c r="R46" s="782">
        <f>+$E45*R116</f>
        <v/>
      </c>
      <c r="S46" s="782">
        <f>+$E45*S116</f>
        <v/>
      </c>
      <c r="T46" s="782" t="n"/>
      <c r="U46" s="686" t="n"/>
      <c r="V46" s="782">
        <f>+$E45*V116</f>
        <v/>
      </c>
      <c r="W46" s="782">
        <f>+$E45*W116</f>
        <v/>
      </c>
      <c r="X46" s="782">
        <f>+$E45*X116</f>
        <v/>
      </c>
      <c r="Y46" s="782">
        <f>+$E45*Y116</f>
        <v/>
      </c>
      <c r="Z46" s="782">
        <f>+$E45*Z116</f>
        <v/>
      </c>
      <c r="AA46" s="782">
        <f>+$E45*AA116</f>
        <v/>
      </c>
      <c r="AB46" s="782">
        <f>+$E45*AB116</f>
        <v/>
      </c>
      <c r="AC46" s="782">
        <f>+$E45*AC116</f>
        <v/>
      </c>
      <c r="AD46" s="782">
        <f>+$E45*AD116</f>
        <v/>
      </c>
      <c r="AE46" s="782">
        <f>+$E45*AE116</f>
        <v/>
      </c>
      <c r="AF46" s="782">
        <f>+$E45*AF116</f>
        <v/>
      </c>
      <c r="AG46" s="782">
        <f>+$E45*AG116</f>
        <v/>
      </c>
      <c r="AH46" s="782" t="n"/>
      <c r="AI46" s="686" t="n"/>
      <c r="AJ46" s="782" t="n"/>
      <c r="AK46" s="686" t="n"/>
    </row>
    <row r="47"/>
    <row r="48" ht="11.25" customHeight="1" s="549"/>
    <row r="49" ht="14" customHeight="1" s="549">
      <c r="A49" s="681" t="n"/>
      <c r="B49" s="681" t="inlineStr">
        <is>
          <t>Factura</t>
        </is>
      </c>
      <c r="C49" s="783" t="inlineStr">
        <is>
          <t>7.7</t>
        </is>
      </c>
      <c r="D49" s="784" t="inlineStr">
        <is>
          <t>Camión Transporte Origen - Punto Destino (Camión cerrado)</t>
        </is>
      </c>
      <c r="E49" s="785">
        <f>+Supuestos!E51</f>
        <v/>
      </c>
      <c r="F49" s="784">
        <f>+F119</f>
        <v/>
      </c>
      <c r="G49" s="681" t="n"/>
      <c r="H49" s="787">
        <f>+$E48*H119</f>
        <v/>
      </c>
      <c r="I49" s="787">
        <f>+$E48*I119</f>
        <v/>
      </c>
      <c r="J49" s="787">
        <f>+$E48*J119</f>
        <v/>
      </c>
      <c r="K49" s="787">
        <f>+$E48*K119</f>
        <v/>
      </c>
      <c r="L49" s="787">
        <f>+$E48*L119</f>
        <v/>
      </c>
      <c r="M49" s="787">
        <f>+$E48*M119</f>
        <v/>
      </c>
      <c r="N49" s="787">
        <f>+$E48*N119</f>
        <v/>
      </c>
      <c r="O49" s="787">
        <f>+$E48*O119</f>
        <v/>
      </c>
      <c r="P49" s="787">
        <f>+$E48*P119</f>
        <v/>
      </c>
      <c r="Q49" s="787">
        <f>+$E48*Q119</f>
        <v/>
      </c>
      <c r="R49" s="787">
        <f>+$E48*R119</f>
        <v/>
      </c>
      <c r="S49" s="787">
        <f>+$E48*S119</f>
        <v/>
      </c>
      <c r="T49" s="787" t="n"/>
      <c r="U49" s="681" t="n"/>
      <c r="V49" s="787">
        <f>+$E48*V119</f>
        <v/>
      </c>
      <c r="W49" s="787">
        <f>+$E48*W119</f>
        <v/>
      </c>
      <c r="X49" s="787">
        <f>+$E48*X119</f>
        <v/>
      </c>
      <c r="Y49" s="787">
        <f>+$E48*Y119</f>
        <v/>
      </c>
      <c r="Z49" s="787">
        <f>+$E48*Z119</f>
        <v/>
      </c>
      <c r="AA49" s="787">
        <f>+$E48*AA119</f>
        <v/>
      </c>
      <c r="AB49" s="787">
        <f>+$E48*AB119</f>
        <v/>
      </c>
      <c r="AC49" s="787">
        <f>+$E48*AC119</f>
        <v/>
      </c>
      <c r="AD49" s="787">
        <f>+$E48*AD119</f>
        <v/>
      </c>
      <c r="AE49" s="787">
        <f>+$E48*AE119</f>
        <v/>
      </c>
      <c r="AF49" s="787">
        <f>+$E48*AF119</f>
        <v/>
      </c>
      <c r="AG49" s="787">
        <f>+$E48*AG119</f>
        <v/>
      </c>
      <c r="AH49" s="787" t="n"/>
      <c r="AI49" s="681" t="n"/>
      <c r="AJ49" s="787" t="n"/>
      <c r="AK49" s="681" t="n"/>
    </row>
    <row r="50" ht="14" customHeight="1" s="549">
      <c r="A50" s="686" t="n"/>
      <c r="B50" s="686" t="n"/>
      <c r="C50" s="771" t="inlineStr">
        <is>
          <t>8.</t>
        </is>
      </c>
      <c r="D50" s="682" t="inlineStr">
        <is>
          <t>Viajes RRCC</t>
        </is>
      </c>
      <c r="E50" s="780">
        <f>+Supuestos!E52</f>
        <v/>
      </c>
      <c r="F50" s="682">
        <f>+F120</f>
        <v/>
      </c>
      <c r="G50" s="686" t="n"/>
      <c r="H50" s="782">
        <f>+SUM(H50:H55)</f>
        <v/>
      </c>
      <c r="I50" s="782">
        <f>+SUM(I50:I55)</f>
        <v/>
      </c>
      <c r="J50" s="782">
        <f>+SUM(J50:J55)</f>
        <v/>
      </c>
      <c r="K50" s="782">
        <f>+SUM(K50:K55)</f>
        <v/>
      </c>
      <c r="L50" s="782">
        <f>+SUM(L50:L55)</f>
        <v/>
      </c>
      <c r="M50" s="782">
        <f>+SUM(M50:M55)</f>
        <v/>
      </c>
      <c r="N50" s="782">
        <f>+SUM(N50:N55)</f>
        <v/>
      </c>
      <c r="O50" s="782">
        <f>+SUM(O50:O55)</f>
        <v/>
      </c>
      <c r="P50" s="782">
        <f>+SUM(P50:P55)</f>
        <v/>
      </c>
      <c r="Q50" s="782">
        <f>+SUM(Q50:Q55)</f>
        <v/>
      </c>
      <c r="R50" s="782">
        <f>+SUM(R50:R55)</f>
        <v/>
      </c>
      <c r="S50" s="782">
        <f>+SUM(S50:S55)</f>
        <v/>
      </c>
      <c r="T50" s="782">
        <f>SUM(H49:S49)</f>
        <v/>
      </c>
      <c r="U50" s="686" t="n"/>
      <c r="V50" s="782">
        <f>+SUM(V50:V55)</f>
        <v/>
      </c>
      <c r="W50" s="782">
        <f>+SUM(W50:W55)</f>
        <v/>
      </c>
      <c r="X50" s="782">
        <f>+SUM(X50:X55)</f>
        <v/>
      </c>
      <c r="Y50" s="782">
        <f>+SUM(Y50:Y55)</f>
        <v/>
      </c>
      <c r="Z50" s="782">
        <f>+SUM(Z50:Z55)</f>
        <v/>
      </c>
      <c r="AA50" s="782">
        <f>+SUM(AA50:AA55)</f>
        <v/>
      </c>
      <c r="AB50" s="782">
        <f>+SUM(AB50:AB55)</f>
        <v/>
      </c>
      <c r="AC50" s="782">
        <f>+SUM(AC50:AC55)</f>
        <v/>
      </c>
      <c r="AD50" s="782">
        <f>+SUM(AD50:AD55)</f>
        <v/>
      </c>
      <c r="AE50" s="782">
        <f>+SUM(AE50:AE55)</f>
        <v/>
      </c>
      <c r="AF50" s="782">
        <f>+SUM(AF50:AF55)</f>
        <v/>
      </c>
      <c r="AG50" s="782">
        <f>+SUM(AG50:AG55)</f>
        <v/>
      </c>
      <c r="AH50" s="782">
        <f>SUM(V49:AG49)</f>
        <v/>
      </c>
      <c r="AI50" s="686" t="n"/>
      <c r="AJ50" s="782">
        <f>+AH49+T49</f>
        <v/>
      </c>
      <c r="AK50" s="686" t="n"/>
    </row>
    <row r="51" ht="14" customHeight="1" s="549">
      <c r="A51" s="681" t="n"/>
      <c r="B51" s="681" t="inlineStr">
        <is>
          <t>Factura</t>
        </is>
      </c>
      <c r="C51" s="783" t="inlineStr">
        <is>
          <t>8.1</t>
        </is>
      </c>
      <c r="D51" s="784" t="inlineStr">
        <is>
          <t>Traslados de personal</t>
        </is>
      </c>
      <c r="E51" s="785">
        <f>+Supuestos!E53</f>
        <v/>
      </c>
      <c r="F51" s="784">
        <f>+F121</f>
        <v/>
      </c>
      <c r="G51" s="681" t="n"/>
      <c r="H51" s="787">
        <f>+$E50*H121</f>
        <v/>
      </c>
      <c r="I51" s="787">
        <f>+$E50*I121</f>
        <v/>
      </c>
      <c r="J51" s="787">
        <f>+$E50*J121</f>
        <v/>
      </c>
      <c r="K51" s="787">
        <f>+$E50*K121</f>
        <v/>
      </c>
      <c r="L51" s="787">
        <f>+$E50*L121</f>
        <v/>
      </c>
      <c r="M51" s="787">
        <f>+$E50*M121</f>
        <v/>
      </c>
      <c r="N51" s="787">
        <f>+$E50*N121</f>
        <v/>
      </c>
      <c r="O51" s="787">
        <f>+$E50*O121</f>
        <v/>
      </c>
      <c r="P51" s="787">
        <f>+$E50*P121</f>
        <v/>
      </c>
      <c r="Q51" s="787">
        <f>+$E50*Q121</f>
        <v/>
      </c>
      <c r="R51" s="787">
        <f>+$E50*R121</f>
        <v/>
      </c>
      <c r="S51" s="787">
        <f>+$E50*S121</f>
        <v/>
      </c>
      <c r="T51" s="787" t="n"/>
      <c r="U51" s="681" t="n"/>
      <c r="V51" s="787">
        <f>+$E50*V121</f>
        <v/>
      </c>
      <c r="W51" s="787">
        <f>+$E50*W121</f>
        <v/>
      </c>
      <c r="X51" s="787">
        <f>+$E50*X121</f>
        <v/>
      </c>
      <c r="Y51" s="787">
        <f>+$E50*Y121</f>
        <v/>
      </c>
      <c r="Z51" s="787">
        <f>+$E50*Z121</f>
        <v/>
      </c>
      <c r="AA51" s="787">
        <f>+$E50*AA121</f>
        <v/>
      </c>
      <c r="AB51" s="787">
        <f>+$E50*AB121</f>
        <v/>
      </c>
      <c r="AC51" s="787">
        <f>+$E50*AC121</f>
        <v/>
      </c>
      <c r="AD51" s="787">
        <f>+$E50*AD121</f>
        <v/>
      </c>
      <c r="AE51" s="787">
        <f>+$E50*AE121</f>
        <v/>
      </c>
      <c r="AF51" s="787">
        <f>+$E50*AF121</f>
        <v/>
      </c>
      <c r="AG51" s="787">
        <f>+$E50*AG121</f>
        <v/>
      </c>
      <c r="AH51" s="787" t="n"/>
      <c r="AI51" s="681" t="n"/>
      <c r="AJ51" s="787" t="n"/>
      <c r="AK51" s="681" t="n"/>
    </row>
    <row r="52" ht="14" customHeight="1" s="549">
      <c r="A52" s="686" t="n"/>
      <c r="B52" s="686" t="inlineStr">
        <is>
          <t xml:space="preserve">Factura o Boleta </t>
        </is>
      </c>
      <c r="C52" s="788" t="inlineStr">
        <is>
          <t>8.2</t>
        </is>
      </c>
      <c r="D52" s="789" t="inlineStr">
        <is>
          <t>Alojamiento</t>
        </is>
      </c>
      <c r="E52" s="790">
        <f>+Supuestos!E54</f>
        <v/>
      </c>
      <c r="F52" s="789">
        <f>+F122</f>
        <v/>
      </c>
      <c r="G52" s="686" t="n"/>
      <c r="H52" s="782">
        <f>+$E51*H122</f>
        <v/>
      </c>
      <c r="I52" s="782">
        <f>+$E51*I122</f>
        <v/>
      </c>
      <c r="J52" s="782">
        <f>+$E51*J122</f>
        <v/>
      </c>
      <c r="K52" s="782">
        <f>+$E51*K122</f>
        <v/>
      </c>
      <c r="L52" s="782">
        <f>+$E51*L122</f>
        <v/>
      </c>
      <c r="M52" s="782">
        <f>+$E51*M122</f>
        <v/>
      </c>
      <c r="N52" s="782">
        <f>+$E51*N122</f>
        <v/>
      </c>
      <c r="O52" s="782">
        <f>+$E51*O122</f>
        <v/>
      </c>
      <c r="P52" s="782">
        <f>+$E51*P122</f>
        <v/>
      </c>
      <c r="Q52" s="782">
        <f>+$E51*Q122</f>
        <v/>
      </c>
      <c r="R52" s="782">
        <f>+$E51*R122</f>
        <v/>
      </c>
      <c r="S52" s="782">
        <f>+$E51*S122</f>
        <v/>
      </c>
      <c r="T52" s="782" t="n"/>
      <c r="U52" s="686" t="n"/>
      <c r="V52" s="782">
        <f>+$E51*V122</f>
        <v/>
      </c>
      <c r="W52" s="782">
        <f>+$E51*W122</f>
        <v/>
      </c>
      <c r="X52" s="782">
        <f>+$E51*X122</f>
        <v/>
      </c>
      <c r="Y52" s="782">
        <f>+$E51*Y122</f>
        <v/>
      </c>
      <c r="Z52" s="782">
        <f>+$E51*Z122</f>
        <v/>
      </c>
      <c r="AA52" s="782">
        <f>+$E51*AA122</f>
        <v/>
      </c>
      <c r="AB52" s="782">
        <f>+$E51*AB122</f>
        <v/>
      </c>
      <c r="AC52" s="782">
        <f>+$E51*AC122</f>
        <v/>
      </c>
      <c r="AD52" s="782">
        <f>+$E51*AD122</f>
        <v/>
      </c>
      <c r="AE52" s="782">
        <f>+$E51*AE122</f>
        <v/>
      </c>
      <c r="AF52" s="782">
        <f>+$E51*AF122</f>
        <v/>
      </c>
      <c r="AG52" s="782">
        <f>+$E51*AG122</f>
        <v/>
      </c>
      <c r="AH52" s="782" t="n"/>
      <c r="AI52" s="686" t="n"/>
      <c r="AJ52" s="782" t="n"/>
      <c r="AK52" s="686" t="n"/>
    </row>
    <row r="53" ht="14" customHeight="1" s="549">
      <c r="A53" s="681" t="n"/>
      <c r="B53" s="681" t="inlineStr">
        <is>
          <t xml:space="preserve">Boleta </t>
        </is>
      </c>
      <c r="C53" s="783" t="inlineStr">
        <is>
          <t>8.3</t>
        </is>
      </c>
      <c r="D53" s="784" t="inlineStr">
        <is>
          <t>Alimentación</t>
        </is>
      </c>
      <c r="E53" s="785">
        <f>+Supuestos!G55</f>
        <v/>
      </c>
      <c r="F53" s="784">
        <f>+F123</f>
        <v/>
      </c>
      <c r="G53" s="681" t="n"/>
      <c r="H53" s="787">
        <f>+$E52*H123</f>
        <v/>
      </c>
      <c r="I53" s="787">
        <f>+$E52*I123</f>
        <v/>
      </c>
      <c r="J53" s="787">
        <f>+$E52*J123</f>
        <v/>
      </c>
      <c r="K53" s="787">
        <f>+$E52*K123</f>
        <v/>
      </c>
      <c r="L53" s="787">
        <f>+$E52*L123</f>
        <v/>
      </c>
      <c r="M53" s="787">
        <f>+$E52*M123</f>
        <v/>
      </c>
      <c r="N53" s="787">
        <f>+$E52*N123</f>
        <v/>
      </c>
      <c r="O53" s="787">
        <f>+$E52*O123</f>
        <v/>
      </c>
      <c r="P53" s="787">
        <f>+$E52*P123</f>
        <v/>
      </c>
      <c r="Q53" s="787">
        <f>+$E52*Q123</f>
        <v/>
      </c>
      <c r="R53" s="787">
        <f>+$E52*R123</f>
        <v/>
      </c>
      <c r="S53" s="787">
        <f>+$E52*S123</f>
        <v/>
      </c>
      <c r="T53" s="787" t="n"/>
      <c r="U53" s="681" t="n"/>
      <c r="V53" s="787">
        <f>+$E52*V123</f>
        <v/>
      </c>
      <c r="W53" s="787">
        <f>+$E52*W123</f>
        <v/>
      </c>
      <c r="X53" s="787">
        <f>+$E52*X123</f>
        <v/>
      </c>
      <c r="Y53" s="787">
        <f>+$E52*Y123</f>
        <v/>
      </c>
      <c r="Z53" s="787">
        <f>+$E52*Z123</f>
        <v/>
      </c>
      <c r="AA53" s="787">
        <f>+$E52*AA123</f>
        <v/>
      </c>
      <c r="AB53" s="787">
        <f>+$E52*AB123</f>
        <v/>
      </c>
      <c r="AC53" s="787">
        <f>+$E52*AC123</f>
        <v/>
      </c>
      <c r="AD53" s="787">
        <f>+$E52*AD123</f>
        <v/>
      </c>
      <c r="AE53" s="787">
        <f>+$E52*AE123</f>
        <v/>
      </c>
      <c r="AF53" s="787">
        <f>+$E52*AF123</f>
        <v/>
      </c>
      <c r="AG53" s="787">
        <f>+$E52*AG123</f>
        <v/>
      </c>
      <c r="AH53" s="787" t="n"/>
      <c r="AI53" s="681" t="n"/>
      <c r="AJ53" s="787" t="n"/>
      <c r="AK53" s="681" t="n"/>
    </row>
    <row r="54" ht="14" customHeight="1" s="549">
      <c r="A54" s="686" t="n"/>
      <c r="B54" s="686" t="inlineStr">
        <is>
          <t xml:space="preserve">Factura o Boleta </t>
        </is>
      </c>
      <c r="C54" s="788" t="inlineStr">
        <is>
          <t>8.4</t>
        </is>
      </c>
      <c r="D54" s="789" t="inlineStr">
        <is>
          <t>Combustible arriendo diario</t>
        </is>
      </c>
      <c r="E54" s="790">
        <f>+Supuestos!G56</f>
        <v/>
      </c>
      <c r="F54" s="789">
        <f>+F124</f>
        <v/>
      </c>
      <c r="G54" s="686" t="n"/>
      <c r="H54" s="782">
        <f>+$E53*H124</f>
        <v/>
      </c>
      <c r="I54" s="782">
        <f>+$E53*I124</f>
        <v/>
      </c>
      <c r="J54" s="782">
        <f>+$E53*J124</f>
        <v/>
      </c>
      <c r="K54" s="782">
        <f>+$E53*K124</f>
        <v/>
      </c>
      <c r="L54" s="782">
        <f>+$E53*L124</f>
        <v/>
      </c>
      <c r="M54" s="782">
        <f>+$E53*M124</f>
        <v/>
      </c>
      <c r="N54" s="782">
        <f>+$E53*N124</f>
        <v/>
      </c>
      <c r="O54" s="782">
        <f>+$E53*O124</f>
        <v/>
      </c>
      <c r="P54" s="782">
        <f>+$E53*P124</f>
        <v/>
      </c>
      <c r="Q54" s="782">
        <f>+$E53*Q124</f>
        <v/>
      </c>
      <c r="R54" s="782">
        <f>+$E53*R124</f>
        <v/>
      </c>
      <c r="S54" s="782">
        <f>+$E53*S124</f>
        <v/>
      </c>
      <c r="T54" s="782" t="n"/>
      <c r="U54" s="686" t="n"/>
      <c r="V54" s="782">
        <f>+$E53*V124</f>
        <v/>
      </c>
      <c r="W54" s="782">
        <f>+$E53*W124</f>
        <v/>
      </c>
      <c r="X54" s="782">
        <f>+$E53*X124</f>
        <v/>
      </c>
      <c r="Y54" s="782">
        <f>+$E53*Y124</f>
        <v/>
      </c>
      <c r="Z54" s="782">
        <f>+$E53*Z124</f>
        <v/>
      </c>
      <c r="AA54" s="782">
        <f>+$E53*AA124</f>
        <v/>
      </c>
      <c r="AB54" s="782">
        <f>+$E53*AB124</f>
        <v/>
      </c>
      <c r="AC54" s="782">
        <f>+$E53*AC124</f>
        <v/>
      </c>
      <c r="AD54" s="782">
        <f>+$E53*AD124</f>
        <v/>
      </c>
      <c r="AE54" s="782">
        <f>+$E53*AE124</f>
        <v/>
      </c>
      <c r="AF54" s="782">
        <f>+$E53*AF124</f>
        <v/>
      </c>
      <c r="AG54" s="782">
        <f>+$E53*AG124</f>
        <v/>
      </c>
      <c r="AH54" s="782" t="n"/>
      <c r="AI54" s="686" t="n"/>
      <c r="AJ54" s="782" t="n"/>
      <c r="AK54" s="686" t="n"/>
    </row>
    <row r="55" ht="14" customHeight="1" s="549">
      <c r="A55" s="681" t="n"/>
      <c r="B55" s="681" t="inlineStr">
        <is>
          <t xml:space="preserve">Factura o Boleta </t>
        </is>
      </c>
      <c r="C55" s="783" t="inlineStr">
        <is>
          <t>8.5</t>
        </is>
      </c>
      <c r="D55" s="784" t="inlineStr">
        <is>
          <t>Combustible arriendo mensual</t>
        </is>
      </c>
      <c r="E55" s="785">
        <f>+Supuestos!E57</f>
        <v/>
      </c>
      <c r="F55" s="784">
        <f>+F125</f>
        <v/>
      </c>
      <c r="G55" s="681" t="n"/>
      <c r="H55" s="787">
        <f>+$E54*H125</f>
        <v/>
      </c>
      <c r="I55" s="787">
        <f>+$E54*I125</f>
        <v/>
      </c>
      <c r="J55" s="787">
        <f>+$E54*J125</f>
        <v/>
      </c>
      <c r="K55" s="787">
        <f>+$E54*K125</f>
        <v/>
      </c>
      <c r="L55" s="787">
        <f>+$E54*L125</f>
        <v/>
      </c>
      <c r="M55" s="787">
        <f>+$E54*M125</f>
        <v/>
      </c>
      <c r="N55" s="787">
        <f>+$E54*N125</f>
        <v/>
      </c>
      <c r="O55" s="787">
        <f>+$E54*O125</f>
        <v/>
      </c>
      <c r="P55" s="787">
        <f>+$E54*P125</f>
        <v/>
      </c>
      <c r="Q55" s="787">
        <f>+$E54*Q125</f>
        <v/>
      </c>
      <c r="R55" s="787">
        <f>+$E54*R125</f>
        <v/>
      </c>
      <c r="S55" s="787">
        <f>+$E54*S125</f>
        <v/>
      </c>
      <c r="T55" s="787" t="n"/>
      <c r="U55" s="681" t="n"/>
      <c r="V55" s="787">
        <f>+$E54*V125</f>
        <v/>
      </c>
      <c r="W55" s="787">
        <f>+$E54*W125</f>
        <v/>
      </c>
      <c r="X55" s="787">
        <f>+$E54*X125</f>
        <v/>
      </c>
      <c r="Y55" s="787">
        <f>+$E54*Y125</f>
        <v/>
      </c>
      <c r="Z55" s="787">
        <f>+$E54*Z125</f>
        <v/>
      </c>
      <c r="AA55" s="787">
        <f>+$E54*AA125</f>
        <v/>
      </c>
      <c r="AB55" s="787">
        <f>+$E54*AB125</f>
        <v/>
      </c>
      <c r="AC55" s="787">
        <f>+$E54*AC125</f>
        <v/>
      </c>
      <c r="AD55" s="787">
        <f>+$E54*AD125</f>
        <v/>
      </c>
      <c r="AE55" s="787">
        <f>+$E54*AE125</f>
        <v/>
      </c>
      <c r="AF55" s="787">
        <f>+$E54*AF125</f>
        <v/>
      </c>
      <c r="AG55" s="787">
        <f>+$E54*AG125</f>
        <v/>
      </c>
      <c r="AH55" s="787" t="n"/>
      <c r="AI55" s="681" t="n"/>
      <c r="AJ55" s="787" t="n"/>
      <c r="AK55" s="681" t="n"/>
    </row>
    <row r="56" ht="14" customHeight="1" s="549">
      <c r="A56" s="686" t="n"/>
      <c r="B56" s="686" t="inlineStr">
        <is>
          <t xml:space="preserve">Boleta </t>
        </is>
      </c>
      <c r="C56" s="788" t="inlineStr">
        <is>
          <t>8.6</t>
        </is>
      </c>
      <c r="D56" s="789" t="inlineStr">
        <is>
          <t>Peajes</t>
        </is>
      </c>
      <c r="E56" s="790">
        <f>+Supuestos!G58</f>
        <v/>
      </c>
      <c r="F56" s="789">
        <f>+F126</f>
        <v/>
      </c>
      <c r="G56" s="686" t="n"/>
      <c r="H56" s="782">
        <f>+$E55*H126</f>
        <v/>
      </c>
      <c r="I56" s="782">
        <f>+$E55*I126</f>
        <v/>
      </c>
      <c r="J56" s="782">
        <f>+$E55*J126</f>
        <v/>
      </c>
      <c r="K56" s="782">
        <f>+$E55*K126</f>
        <v/>
      </c>
      <c r="L56" s="782">
        <f>+$E55*L126</f>
        <v/>
      </c>
      <c r="M56" s="782">
        <f>+$E55*M126</f>
        <v/>
      </c>
      <c r="N56" s="782">
        <f>+$E55*N126</f>
        <v/>
      </c>
      <c r="O56" s="782">
        <f>+$E55*O126</f>
        <v/>
      </c>
      <c r="P56" s="782">
        <f>+$E55*P126</f>
        <v/>
      </c>
      <c r="Q56" s="782">
        <f>+$E55*Q126</f>
        <v/>
      </c>
      <c r="R56" s="782">
        <f>+$E55*R126</f>
        <v/>
      </c>
      <c r="S56" s="782">
        <f>+$E55*S126</f>
        <v/>
      </c>
      <c r="T56" s="782" t="n"/>
      <c r="U56" s="686" t="n"/>
      <c r="V56" s="782">
        <f>+$E55*V126</f>
        <v/>
      </c>
      <c r="W56" s="782">
        <f>+$E55*W126</f>
        <v/>
      </c>
      <c r="X56" s="782">
        <f>+$E55*X126</f>
        <v/>
      </c>
      <c r="Y56" s="782">
        <f>+$E55*Y126</f>
        <v/>
      </c>
      <c r="Z56" s="782">
        <f>+$E55*Z126</f>
        <v/>
      </c>
      <c r="AA56" s="782">
        <f>+$E55*AA126</f>
        <v/>
      </c>
      <c r="AB56" s="782">
        <f>+$E55*AB126</f>
        <v/>
      </c>
      <c r="AC56" s="782">
        <f>+$E55*AC126</f>
        <v/>
      </c>
      <c r="AD56" s="782">
        <f>+$E55*AD126</f>
        <v/>
      </c>
      <c r="AE56" s="782">
        <f>+$E55*AE126</f>
        <v/>
      </c>
      <c r="AF56" s="782">
        <f>+$E55*AF126</f>
        <v/>
      </c>
      <c r="AG56" s="782">
        <f>+$E55*AG126</f>
        <v/>
      </c>
      <c r="AH56" s="782" t="n"/>
      <c r="AI56" s="686" t="n"/>
      <c r="AJ56" s="782" t="n"/>
      <c r="AK56" s="686" t="n"/>
    </row>
    <row r="57" ht="14" customHeight="1" s="549">
      <c r="A57" s="681" t="n"/>
      <c r="B57" s="681" t="n"/>
      <c r="C57" s="712" t="inlineStr">
        <is>
          <t>9.</t>
        </is>
      </c>
      <c r="D57" s="688" t="inlineStr">
        <is>
          <t>Viajes Gestión Técnica</t>
        </is>
      </c>
      <c r="E57" s="792">
        <f>+Supuestos!E59</f>
        <v/>
      </c>
      <c r="F57" s="688">
        <f>+F127</f>
        <v/>
      </c>
      <c r="G57" s="681" t="n"/>
      <c r="H57" s="787">
        <f>+SUM(H57:H62)</f>
        <v/>
      </c>
      <c r="I57" s="787">
        <f>+SUM(I57:I62)</f>
        <v/>
      </c>
      <c r="J57" s="787">
        <f>+SUM(J57:J62)</f>
        <v/>
      </c>
      <c r="K57" s="787">
        <f>+SUM(K57:K62)</f>
        <v/>
      </c>
      <c r="L57" s="787">
        <f>+SUM(L57:L62)</f>
        <v/>
      </c>
      <c r="M57" s="787">
        <f>+SUM(M57:M62)</f>
        <v/>
      </c>
      <c r="N57" s="787">
        <f>+SUM(N57:N62)</f>
        <v/>
      </c>
      <c r="O57" s="787">
        <f>+SUM(O57:O62)</f>
        <v/>
      </c>
      <c r="P57" s="787">
        <f>+SUM(P57:P62)</f>
        <v/>
      </c>
      <c r="Q57" s="787">
        <f>+SUM(Q57:Q62)</f>
        <v/>
      </c>
      <c r="R57" s="787">
        <f>+SUM(R57:R62)</f>
        <v/>
      </c>
      <c r="S57" s="787">
        <f>+SUM(S57:S62)</f>
        <v/>
      </c>
      <c r="T57" s="787">
        <f>SUM(H56:S56)</f>
        <v/>
      </c>
      <c r="U57" s="681" t="n"/>
      <c r="V57" s="787">
        <f>+SUM(V57:V62)</f>
        <v/>
      </c>
      <c r="W57" s="787">
        <f>+SUM(W57:W62)</f>
        <v/>
      </c>
      <c r="X57" s="787">
        <f>+SUM(X57:X62)</f>
        <v/>
      </c>
      <c r="Y57" s="787">
        <f>+SUM(Y57:Y62)</f>
        <v/>
      </c>
      <c r="Z57" s="787">
        <f>+SUM(Z57:Z62)</f>
        <v/>
      </c>
      <c r="AA57" s="787">
        <f>+SUM(AA57:AA62)</f>
        <v/>
      </c>
      <c r="AB57" s="787">
        <f>+SUM(AB57:AB62)</f>
        <v/>
      </c>
      <c r="AC57" s="787">
        <f>+SUM(AC57:AC62)</f>
        <v/>
      </c>
      <c r="AD57" s="787">
        <f>+SUM(AD57:AD62)</f>
        <v/>
      </c>
      <c r="AE57" s="787">
        <f>+SUM(AE57:AE62)</f>
        <v/>
      </c>
      <c r="AF57" s="787">
        <f>+SUM(AF57:AF62)</f>
        <v/>
      </c>
      <c r="AG57" s="787">
        <f>+SUM(AG57:AG62)</f>
        <v/>
      </c>
      <c r="AH57" s="787">
        <f>SUM(V56:AG56)</f>
        <v/>
      </c>
      <c r="AI57" s="681" t="n"/>
      <c r="AJ57" s="787">
        <f>+AH56+T56</f>
        <v/>
      </c>
      <c r="AK57" s="681" t="n"/>
    </row>
    <row r="58" ht="14" customHeight="1" s="549">
      <c r="A58" s="686" t="n"/>
      <c r="B58" s="686" t="inlineStr">
        <is>
          <t>Factura</t>
        </is>
      </c>
      <c r="C58" s="788" t="inlineStr">
        <is>
          <t>9.1</t>
        </is>
      </c>
      <c r="D58" s="789" t="inlineStr">
        <is>
          <t>Traslados de personal</t>
        </is>
      </c>
      <c r="E58" s="790">
        <f>+Supuestos!E60</f>
        <v/>
      </c>
      <c r="F58" s="789">
        <f>+F128</f>
        <v/>
      </c>
      <c r="G58" s="686" t="n"/>
      <c r="H58" s="782">
        <f>+$E57*H128</f>
        <v/>
      </c>
      <c r="I58" s="782">
        <f>+$E57*I128</f>
        <v/>
      </c>
      <c r="J58" s="782">
        <f>+$E57*J128</f>
        <v/>
      </c>
      <c r="K58" s="782">
        <f>+$E57*K128</f>
        <v/>
      </c>
      <c r="L58" s="782">
        <f>+$E57*L128</f>
        <v/>
      </c>
      <c r="M58" s="782">
        <f>+$E57*M128</f>
        <v/>
      </c>
      <c r="N58" s="782">
        <f>+$E57*N128</f>
        <v/>
      </c>
      <c r="O58" s="782">
        <f>+$E57*O128</f>
        <v/>
      </c>
      <c r="P58" s="782">
        <f>+$E57*P128</f>
        <v/>
      </c>
      <c r="Q58" s="782">
        <f>+$E57*Q128</f>
        <v/>
      </c>
      <c r="R58" s="782">
        <f>+$E57*R128</f>
        <v/>
      </c>
      <c r="S58" s="782">
        <f>+$E57*S128</f>
        <v/>
      </c>
      <c r="T58" s="782" t="n"/>
      <c r="U58" s="686" t="n"/>
      <c r="V58" s="782">
        <f>+$E57*V128</f>
        <v/>
      </c>
      <c r="W58" s="782">
        <f>+$E57*W128</f>
        <v/>
      </c>
      <c r="X58" s="782">
        <f>+$E57*X128</f>
        <v/>
      </c>
      <c r="Y58" s="782">
        <f>+$E57*Y128</f>
        <v/>
      </c>
      <c r="Z58" s="782">
        <f>+$E57*Z128</f>
        <v/>
      </c>
      <c r="AA58" s="782">
        <f>+$E57*AA128</f>
        <v/>
      </c>
      <c r="AB58" s="782">
        <f>+$E57*AB128</f>
        <v/>
      </c>
      <c r="AC58" s="782">
        <f>+$E57*AC128</f>
        <v/>
      </c>
      <c r="AD58" s="782">
        <f>+$E57*AD128</f>
        <v/>
      </c>
      <c r="AE58" s="782">
        <f>+$E57*AE128</f>
        <v/>
      </c>
      <c r="AF58" s="782">
        <f>+$E57*AF128</f>
        <v/>
      </c>
      <c r="AG58" s="782">
        <f>+$E57*AG128</f>
        <v/>
      </c>
      <c r="AH58" s="782" t="n"/>
      <c r="AI58" s="686" t="n"/>
      <c r="AJ58" s="782" t="n"/>
      <c r="AK58" s="686" t="n"/>
    </row>
    <row r="59" ht="14" customHeight="1" s="549">
      <c r="A59" s="681" t="n"/>
      <c r="B59" s="681" t="inlineStr">
        <is>
          <t xml:space="preserve">Factura o Boleta </t>
        </is>
      </c>
      <c r="C59" s="783" t="inlineStr">
        <is>
          <t>9.2</t>
        </is>
      </c>
      <c r="D59" s="784" t="inlineStr">
        <is>
          <t>Alojamiento</t>
        </is>
      </c>
      <c r="E59" s="785">
        <f>+Supuestos!E61</f>
        <v/>
      </c>
      <c r="F59" s="784">
        <f>+F129</f>
        <v/>
      </c>
      <c r="G59" s="681" t="n"/>
      <c r="H59" s="787">
        <f>+$E58*H129</f>
        <v/>
      </c>
      <c r="I59" s="787">
        <f>+$E58*I129</f>
        <v/>
      </c>
      <c r="J59" s="787">
        <f>+$E58*J129</f>
        <v/>
      </c>
      <c r="K59" s="787">
        <f>+$E58*K129</f>
        <v/>
      </c>
      <c r="L59" s="787">
        <f>+$E58*L129</f>
        <v/>
      </c>
      <c r="M59" s="787">
        <f>+$E58*M129</f>
        <v/>
      </c>
      <c r="N59" s="787">
        <f>+$E58*N129</f>
        <v/>
      </c>
      <c r="O59" s="787">
        <f>+$E58*O129</f>
        <v/>
      </c>
      <c r="P59" s="787">
        <f>+$E58*P129</f>
        <v/>
      </c>
      <c r="Q59" s="787">
        <f>+$E58*Q129</f>
        <v/>
      </c>
      <c r="R59" s="787">
        <f>+$E58*R129</f>
        <v/>
      </c>
      <c r="S59" s="787">
        <f>+$E58*S129</f>
        <v/>
      </c>
      <c r="T59" s="787" t="n"/>
      <c r="U59" s="681" t="n"/>
      <c r="V59" s="787">
        <f>+$E58*V129</f>
        <v/>
      </c>
      <c r="W59" s="787">
        <f>+$E58*W129</f>
        <v/>
      </c>
      <c r="X59" s="787">
        <f>+$E58*X129</f>
        <v/>
      </c>
      <c r="Y59" s="787">
        <f>+$E58*Y129</f>
        <v/>
      </c>
      <c r="Z59" s="787">
        <f>+$E58*Z129</f>
        <v/>
      </c>
      <c r="AA59" s="787">
        <f>+$E58*AA129</f>
        <v/>
      </c>
      <c r="AB59" s="787">
        <f>+$E58*AB129</f>
        <v/>
      </c>
      <c r="AC59" s="787">
        <f>+$E58*AC129</f>
        <v/>
      </c>
      <c r="AD59" s="787">
        <f>+$E58*AD129</f>
        <v/>
      </c>
      <c r="AE59" s="787">
        <f>+$E58*AE129</f>
        <v/>
      </c>
      <c r="AF59" s="787">
        <f>+$E58*AF129</f>
        <v/>
      </c>
      <c r="AG59" s="787">
        <f>+$E58*AG129</f>
        <v/>
      </c>
      <c r="AH59" s="787" t="n"/>
      <c r="AI59" s="681" t="n"/>
      <c r="AJ59" s="787" t="n"/>
      <c r="AK59" s="681" t="n"/>
    </row>
    <row r="60" ht="14" customHeight="1" s="549">
      <c r="A60" s="686" t="n"/>
      <c r="B60" s="686" t="inlineStr">
        <is>
          <t xml:space="preserve">Boleta </t>
        </is>
      </c>
      <c r="C60" s="788" t="inlineStr">
        <is>
          <t>9.3</t>
        </is>
      </c>
      <c r="D60" s="789" t="inlineStr">
        <is>
          <t>Alimentación</t>
        </is>
      </c>
      <c r="E60" s="790">
        <f>+Supuestos!G55</f>
        <v/>
      </c>
      <c r="F60" s="789">
        <f>+F130</f>
        <v/>
      </c>
      <c r="G60" s="686" t="n"/>
      <c r="H60" s="782">
        <f>+$E59*H130</f>
        <v/>
      </c>
      <c r="I60" s="782">
        <f>+$E59*I130</f>
        <v/>
      </c>
      <c r="J60" s="782">
        <f>+$E59*J130</f>
        <v/>
      </c>
      <c r="K60" s="782">
        <f>+$E59*K130</f>
        <v/>
      </c>
      <c r="L60" s="782">
        <f>+$E59*L130</f>
        <v/>
      </c>
      <c r="M60" s="782">
        <f>+$E59*M130</f>
        <v/>
      </c>
      <c r="N60" s="782">
        <f>+$E59*N130</f>
        <v/>
      </c>
      <c r="O60" s="782">
        <f>+$E59*O130</f>
        <v/>
      </c>
      <c r="P60" s="782">
        <f>+$E59*P130</f>
        <v/>
      </c>
      <c r="Q60" s="782">
        <f>+$E59*Q130</f>
        <v/>
      </c>
      <c r="R60" s="782">
        <f>+$E59*R130</f>
        <v/>
      </c>
      <c r="S60" s="782">
        <f>+$E59*S130</f>
        <v/>
      </c>
      <c r="T60" s="782" t="n"/>
      <c r="U60" s="686" t="n"/>
      <c r="V60" s="782">
        <f>+$E59*V130</f>
        <v/>
      </c>
      <c r="W60" s="782">
        <f>+$E59*W130</f>
        <v/>
      </c>
      <c r="X60" s="782">
        <f>+$E59*X130</f>
        <v/>
      </c>
      <c r="Y60" s="782">
        <f>+$E59*Y130</f>
        <v/>
      </c>
      <c r="Z60" s="782">
        <f>+$E59*Z130</f>
        <v/>
      </c>
      <c r="AA60" s="782">
        <f>+$E59*AA130</f>
        <v/>
      </c>
      <c r="AB60" s="782">
        <f>+$E59*AB130</f>
        <v/>
      </c>
      <c r="AC60" s="782">
        <f>+$E59*AC130</f>
        <v/>
      </c>
      <c r="AD60" s="782">
        <f>+$E59*AD130</f>
        <v/>
      </c>
      <c r="AE60" s="782">
        <f>+$E59*AE130</f>
        <v/>
      </c>
      <c r="AF60" s="782">
        <f>+$E59*AF130</f>
        <v/>
      </c>
      <c r="AG60" s="782">
        <f>+$E59*AG130</f>
        <v/>
      </c>
      <c r="AH60" s="782" t="n"/>
      <c r="AI60" s="686" t="n"/>
      <c r="AJ60" s="782" t="n"/>
      <c r="AK60" s="686" t="n"/>
    </row>
    <row r="61" ht="14" customHeight="1" s="549">
      <c r="A61" s="681" t="n"/>
      <c r="B61" s="681" t="inlineStr">
        <is>
          <t xml:space="preserve">Factura o Boleta </t>
        </is>
      </c>
      <c r="C61" s="783" t="inlineStr">
        <is>
          <t>9.4</t>
        </is>
      </c>
      <c r="D61" s="784" t="inlineStr">
        <is>
          <t>Combustible arriendo diario</t>
        </is>
      </c>
      <c r="E61" s="785">
        <f>+Supuestos!G63</f>
        <v/>
      </c>
      <c r="F61" s="784">
        <f>+F131</f>
        <v/>
      </c>
      <c r="G61" s="681" t="n"/>
      <c r="H61" s="787">
        <f>+$E60*H131</f>
        <v/>
      </c>
      <c r="I61" s="787">
        <f>+$E60*I131</f>
        <v/>
      </c>
      <c r="J61" s="787">
        <f>+$E60*J131</f>
        <v/>
      </c>
      <c r="K61" s="787">
        <f>+$E60*K131</f>
        <v/>
      </c>
      <c r="L61" s="787">
        <f>+$E60*L131</f>
        <v/>
      </c>
      <c r="M61" s="787">
        <f>+$E60*M131</f>
        <v/>
      </c>
      <c r="N61" s="787">
        <f>+$E60*N131</f>
        <v/>
      </c>
      <c r="O61" s="787">
        <f>+$E60*O131</f>
        <v/>
      </c>
      <c r="P61" s="787">
        <f>+$E60*P131</f>
        <v/>
      </c>
      <c r="Q61" s="787">
        <f>+$E60*Q131</f>
        <v/>
      </c>
      <c r="R61" s="787">
        <f>+$E60*R131</f>
        <v/>
      </c>
      <c r="S61" s="787">
        <f>+$E60*S131</f>
        <v/>
      </c>
      <c r="T61" s="787" t="n"/>
      <c r="U61" s="681" t="n"/>
      <c r="V61" s="787">
        <f>+$E60*V131</f>
        <v/>
      </c>
      <c r="W61" s="787">
        <f>+$E60*W131</f>
        <v/>
      </c>
      <c r="X61" s="787">
        <f>+$E60*X131</f>
        <v/>
      </c>
      <c r="Y61" s="787">
        <f>+$E60*Y131</f>
        <v/>
      </c>
      <c r="Z61" s="787">
        <f>+$E60*Z131</f>
        <v/>
      </c>
      <c r="AA61" s="787">
        <f>+$E60*AA131</f>
        <v/>
      </c>
      <c r="AB61" s="787">
        <f>+$E60*AB131</f>
        <v/>
      </c>
      <c r="AC61" s="787">
        <f>+$E60*AC131</f>
        <v/>
      </c>
      <c r="AD61" s="787">
        <f>+$E60*AD131</f>
        <v/>
      </c>
      <c r="AE61" s="787">
        <f>+$E60*AE131</f>
        <v/>
      </c>
      <c r="AF61" s="787">
        <f>+$E60*AF131</f>
        <v/>
      </c>
      <c r="AG61" s="787">
        <f>+$E60*AG131</f>
        <v/>
      </c>
      <c r="AH61" s="787" t="n"/>
      <c r="AI61" s="681" t="n"/>
      <c r="AJ61" s="787" t="n"/>
      <c r="AK61" s="681" t="n"/>
    </row>
    <row r="62" ht="14" customHeight="1" s="549">
      <c r="A62" s="686" t="n"/>
      <c r="B62" s="686" t="inlineStr">
        <is>
          <t xml:space="preserve">Factura o Boleta </t>
        </is>
      </c>
      <c r="C62" s="788" t="inlineStr">
        <is>
          <t>9.5</t>
        </is>
      </c>
      <c r="D62" s="789" t="inlineStr">
        <is>
          <t>Combustible arriendo mensual</t>
        </is>
      </c>
      <c r="E62" s="790">
        <f>+Supuestos!E64</f>
        <v/>
      </c>
      <c r="F62" s="789">
        <f>+F132</f>
        <v/>
      </c>
      <c r="G62" s="686" t="n"/>
      <c r="H62" s="782">
        <f>+$E61*H132</f>
        <v/>
      </c>
      <c r="I62" s="782">
        <f>+$E61*I132</f>
        <v/>
      </c>
      <c r="J62" s="782">
        <f>+$E61*J132</f>
        <v/>
      </c>
      <c r="K62" s="782">
        <f>+$E61*K132</f>
        <v/>
      </c>
      <c r="L62" s="782">
        <f>+$E61*L132</f>
        <v/>
      </c>
      <c r="M62" s="782">
        <f>+$E61*M132</f>
        <v/>
      </c>
      <c r="N62" s="782">
        <f>+$E61*N132</f>
        <v/>
      </c>
      <c r="O62" s="782">
        <f>+$E61*O132</f>
        <v/>
      </c>
      <c r="P62" s="782">
        <f>+$E61*P132</f>
        <v/>
      </c>
      <c r="Q62" s="782">
        <f>+$E61*Q132</f>
        <v/>
      </c>
      <c r="R62" s="782">
        <f>+$E61*R132</f>
        <v/>
      </c>
      <c r="S62" s="782">
        <f>+$E61*S132</f>
        <v/>
      </c>
      <c r="T62" s="782" t="n"/>
      <c r="U62" s="686" t="n"/>
      <c r="V62" s="782">
        <f>+$E61*V132</f>
        <v/>
      </c>
      <c r="W62" s="782">
        <f>+$E61*W132</f>
        <v/>
      </c>
      <c r="X62" s="782">
        <f>+$E61*X132</f>
        <v/>
      </c>
      <c r="Y62" s="782">
        <f>+$E61*Y132</f>
        <v/>
      </c>
      <c r="Z62" s="782">
        <f>+$E61*Z132</f>
        <v/>
      </c>
      <c r="AA62" s="782">
        <f>+$E61*AA132</f>
        <v/>
      </c>
      <c r="AB62" s="782">
        <f>+$E61*AB132</f>
        <v/>
      </c>
      <c r="AC62" s="782">
        <f>+$E61*AC132</f>
        <v/>
      </c>
      <c r="AD62" s="782">
        <f>+$E61*AD132</f>
        <v/>
      </c>
      <c r="AE62" s="782">
        <f>+$E61*AE132</f>
        <v/>
      </c>
      <c r="AF62" s="782">
        <f>+$E61*AF132</f>
        <v/>
      </c>
      <c r="AG62" s="782">
        <f>+$E61*AG132</f>
        <v/>
      </c>
      <c r="AH62" s="782" t="n"/>
      <c r="AI62" s="686" t="n"/>
      <c r="AJ62" s="782" t="n"/>
      <c r="AK62" s="686" t="n"/>
    </row>
    <row r="63" ht="14" customHeight="1" s="549">
      <c r="A63" s="681" t="n"/>
      <c r="B63" s="681" t="inlineStr">
        <is>
          <t xml:space="preserve">Boleta </t>
        </is>
      </c>
      <c r="C63" s="783" t="inlineStr">
        <is>
          <t>9.6</t>
        </is>
      </c>
      <c r="D63" s="784" t="inlineStr">
        <is>
          <t>Peajes</t>
        </is>
      </c>
      <c r="E63" s="785">
        <f>+Supuestos!G65</f>
        <v/>
      </c>
      <c r="F63" s="784">
        <f>+F133</f>
        <v/>
      </c>
      <c r="G63" s="681" t="n"/>
      <c r="H63" s="787">
        <f>+$E62*H133</f>
        <v/>
      </c>
      <c r="I63" s="787">
        <f>+$E62*I133</f>
        <v/>
      </c>
      <c r="J63" s="787">
        <f>+$E62*J133</f>
        <v/>
      </c>
      <c r="K63" s="787">
        <f>+$E62*K133</f>
        <v/>
      </c>
      <c r="L63" s="787">
        <f>+$E62*L133</f>
        <v/>
      </c>
      <c r="M63" s="787">
        <f>+$E62*M133</f>
        <v/>
      </c>
      <c r="N63" s="787">
        <f>+$E62*N133</f>
        <v/>
      </c>
      <c r="O63" s="787">
        <f>+$E62*O133</f>
        <v/>
      </c>
      <c r="P63" s="787">
        <f>+$E62*P133</f>
        <v/>
      </c>
      <c r="Q63" s="787">
        <f>+$E62*Q133</f>
        <v/>
      </c>
      <c r="R63" s="787">
        <f>+$E62*R133</f>
        <v/>
      </c>
      <c r="S63" s="787">
        <f>+$E62*S133</f>
        <v/>
      </c>
      <c r="T63" s="787" t="n"/>
      <c r="U63" s="681" t="n"/>
      <c r="V63" s="787">
        <f>+$E62*V133</f>
        <v/>
      </c>
      <c r="W63" s="787">
        <f>+$E62*W133</f>
        <v/>
      </c>
      <c r="X63" s="787">
        <f>+$E62*X133</f>
        <v/>
      </c>
      <c r="Y63" s="787">
        <f>+$E62*Y133</f>
        <v/>
      </c>
      <c r="Z63" s="787">
        <f>+$E62*Z133</f>
        <v/>
      </c>
      <c r="AA63" s="787">
        <f>+$E62*AA133</f>
        <v/>
      </c>
      <c r="AB63" s="787">
        <f>+$E62*AB133</f>
        <v/>
      </c>
      <c r="AC63" s="787">
        <f>+$E62*AC133</f>
        <v/>
      </c>
      <c r="AD63" s="787">
        <f>+$E62*AD133</f>
        <v/>
      </c>
      <c r="AE63" s="787">
        <f>+$E62*AE133</f>
        <v/>
      </c>
      <c r="AF63" s="787">
        <f>+$E62*AF133</f>
        <v/>
      </c>
      <c r="AG63" s="787">
        <f>+$E62*AG133</f>
        <v/>
      </c>
      <c r="AH63" s="787" t="n"/>
      <c r="AI63" s="681" t="n"/>
      <c r="AJ63" s="787" t="n"/>
      <c r="AK63" s="681" t="n"/>
    </row>
    <row r="64" ht="14" customHeight="1" s="549">
      <c r="A64" s="686" t="n"/>
      <c r="B64" s="686" t="n"/>
      <c r="C64" s="771" t="inlineStr">
        <is>
          <t>10.</t>
        </is>
      </c>
      <c r="D64" s="682" t="inlineStr">
        <is>
          <t xml:space="preserve">Gastos Varios </t>
        </is>
      </c>
      <c r="E64" s="780">
        <f>+Supuestos!E66</f>
        <v/>
      </c>
      <c r="F64" s="682">
        <f>+F134</f>
        <v/>
      </c>
      <c r="G64" s="686" t="n"/>
      <c r="H64" s="782">
        <f>+SUM(H64:H68)</f>
        <v/>
      </c>
      <c r="I64" s="782">
        <f>+SUM(I64:I68)</f>
        <v/>
      </c>
      <c r="J64" s="782">
        <f>+SUM(J64:J68)</f>
        <v/>
      </c>
      <c r="K64" s="782">
        <f>+SUM(K64:K68)</f>
        <v/>
      </c>
      <c r="L64" s="782">
        <f>+SUM(L64:L68)</f>
        <v/>
      </c>
      <c r="M64" s="782">
        <f>+SUM(M64:M68)</f>
        <v/>
      </c>
      <c r="N64" s="782">
        <f>+SUM(N64:N68)</f>
        <v/>
      </c>
      <c r="O64" s="782">
        <f>+SUM(O64:O68)</f>
        <v/>
      </c>
      <c r="P64" s="782">
        <f>+SUM(P64:P68)</f>
        <v/>
      </c>
      <c r="Q64" s="782">
        <f>+SUM(Q64:Q68)</f>
        <v/>
      </c>
      <c r="R64" s="782">
        <f>+SUM(R64:R68)</f>
        <v/>
      </c>
      <c r="S64" s="782">
        <f>+SUM(S64:S68)</f>
        <v/>
      </c>
      <c r="T64" s="782">
        <f>SUM(H63:S63)</f>
        <v/>
      </c>
      <c r="U64" s="686" t="n"/>
      <c r="V64" s="782">
        <f>+SUM(V64:V68)</f>
        <v/>
      </c>
      <c r="W64" s="782">
        <f>+SUM(W64:W68)</f>
        <v/>
      </c>
      <c r="X64" s="782">
        <f>+SUM(X64:X68)</f>
        <v/>
      </c>
      <c r="Y64" s="782">
        <f>+SUM(Y64:Y68)</f>
        <v/>
      </c>
      <c r="Z64" s="782">
        <f>+SUM(Z64:Z68)</f>
        <v/>
      </c>
      <c r="AA64" s="782">
        <f>+SUM(AA64:AA68)</f>
        <v/>
      </c>
      <c r="AB64" s="782">
        <f>+SUM(AB64:AB68)</f>
        <v/>
      </c>
      <c r="AC64" s="782">
        <f>+SUM(AC64:AC68)</f>
        <v/>
      </c>
      <c r="AD64" s="782">
        <f>+SUM(AD64:AD68)</f>
        <v/>
      </c>
      <c r="AE64" s="782">
        <f>+SUM(AE64:AE68)</f>
        <v/>
      </c>
      <c r="AF64" s="782">
        <f>+SUM(AF64:AF68)</f>
        <v/>
      </c>
      <c r="AG64" s="782">
        <f>+SUM(AG64:AG68)</f>
        <v/>
      </c>
      <c r="AH64" s="782">
        <f>SUM(V63:AG63)</f>
        <v/>
      </c>
      <c r="AI64" s="686" t="n"/>
      <c r="AJ64" s="782">
        <f>+AH63+T63</f>
        <v/>
      </c>
      <c r="AK64" s="686" t="n"/>
    </row>
    <row r="65" ht="14" customHeight="1" s="549">
      <c r="A65" s="681" t="n"/>
      <c r="B65" s="681" t="inlineStr">
        <is>
          <t xml:space="preserve">Boleta </t>
        </is>
      </c>
      <c r="C65" s="783" t="inlineStr">
        <is>
          <t>10.1</t>
        </is>
      </c>
      <c r="D65" s="784" t="inlineStr">
        <is>
          <t xml:space="preserve">Compras de Equipos, EEPP, Otros </t>
        </is>
      </c>
      <c r="E65" s="785">
        <f>+Supuestos!E67</f>
        <v/>
      </c>
      <c r="F65" s="784">
        <f>+F135</f>
        <v/>
      </c>
      <c r="G65" s="681" t="n"/>
      <c r="H65" s="787">
        <f>+$E64*H135</f>
        <v/>
      </c>
      <c r="I65" s="787">
        <f>+$E64*I135</f>
        <v/>
      </c>
      <c r="J65" s="787">
        <f>+$E64*J135</f>
        <v/>
      </c>
      <c r="K65" s="787">
        <f>+$E64*K135</f>
        <v/>
      </c>
      <c r="L65" s="787">
        <f>+$E64*L135</f>
        <v/>
      </c>
      <c r="M65" s="787">
        <f>+$E64*M135</f>
        <v/>
      </c>
      <c r="N65" s="787">
        <f>+$E64*N135</f>
        <v/>
      </c>
      <c r="O65" s="787">
        <f>+$E64*O135</f>
        <v/>
      </c>
      <c r="P65" s="787">
        <f>+$E64*P135</f>
        <v/>
      </c>
      <c r="Q65" s="787">
        <f>+$E64*Q135</f>
        <v/>
      </c>
      <c r="R65" s="787">
        <f>+$E64*R135</f>
        <v/>
      </c>
      <c r="S65" s="787">
        <f>+$E64*S135</f>
        <v/>
      </c>
      <c r="T65" s="787" t="n"/>
      <c r="U65" s="681" t="n"/>
      <c r="V65" s="787">
        <f>+$E64*V135</f>
        <v/>
      </c>
      <c r="W65" s="787">
        <f>+$E64*W135</f>
        <v/>
      </c>
      <c r="X65" s="787">
        <f>+$E64*X135</f>
        <v/>
      </c>
      <c r="Y65" s="787">
        <f>+$E64*Y135</f>
        <v/>
      </c>
      <c r="Z65" s="787">
        <f>+$E64*Z135</f>
        <v/>
      </c>
      <c r="AA65" s="787">
        <f>+$E64*AA135</f>
        <v/>
      </c>
      <c r="AB65" s="787">
        <f>+$E64*AB135</f>
        <v/>
      </c>
      <c r="AC65" s="787">
        <f>+$E64*AC135</f>
        <v/>
      </c>
      <c r="AD65" s="787">
        <f>+$E64*AD135</f>
        <v/>
      </c>
      <c r="AE65" s="787">
        <f>+$E64*AE135</f>
        <v/>
      </c>
      <c r="AF65" s="787">
        <f>+$E64*AF135</f>
        <v/>
      </c>
      <c r="AG65" s="787">
        <f>+$E64*AG135</f>
        <v/>
      </c>
      <c r="AH65" s="787" t="n"/>
      <c r="AI65" s="681" t="n"/>
      <c r="AJ65" s="787" t="n"/>
      <c r="AK65" s="681" t="n"/>
    </row>
    <row r="66" ht="14" customHeight="1" s="549">
      <c r="A66" s="686" t="n"/>
      <c r="B66" s="686" t="inlineStr">
        <is>
          <t xml:space="preserve">Boleta </t>
        </is>
      </c>
      <c r="C66" s="788" t="inlineStr">
        <is>
          <t>10.2</t>
        </is>
      </c>
      <c r="D66" s="789" t="inlineStr">
        <is>
          <t>Mensajerias (Correo de Chile)</t>
        </is>
      </c>
      <c r="E66" s="790">
        <f>+Supuestos!E68</f>
        <v/>
      </c>
      <c r="F66" s="789">
        <f>+F136</f>
        <v/>
      </c>
      <c r="G66" s="686" t="n"/>
      <c r="H66" s="782">
        <f>+$E65*H136</f>
        <v/>
      </c>
      <c r="I66" s="782">
        <f>+$E65*I136</f>
        <v/>
      </c>
      <c r="J66" s="782">
        <f>+$E65*J136</f>
        <v/>
      </c>
      <c r="K66" s="782">
        <f>+$E65*K136</f>
        <v/>
      </c>
      <c r="L66" s="782">
        <f>+$E65*L136</f>
        <v/>
      </c>
      <c r="M66" s="782">
        <f>+$E65*M136</f>
        <v/>
      </c>
      <c r="N66" s="782">
        <f>+$E65*N136</f>
        <v/>
      </c>
      <c r="O66" s="782">
        <f>+$E65*O136</f>
        <v/>
      </c>
      <c r="P66" s="782">
        <f>+$E65*P136</f>
        <v/>
      </c>
      <c r="Q66" s="782">
        <f>+$E65*Q136</f>
        <v/>
      </c>
      <c r="R66" s="782">
        <f>+$E65*R136</f>
        <v/>
      </c>
      <c r="S66" s="782">
        <f>+$E65*S136</f>
        <v/>
      </c>
      <c r="T66" s="782" t="n"/>
      <c r="U66" s="686" t="n"/>
      <c r="V66" s="782">
        <f>+$E65*V136</f>
        <v/>
      </c>
      <c r="W66" s="782">
        <f>+$E65*W136</f>
        <v/>
      </c>
      <c r="X66" s="782">
        <f>+$E65*X136</f>
        <v/>
      </c>
      <c r="Y66" s="782">
        <f>+$E65*Y136</f>
        <v/>
      </c>
      <c r="Z66" s="782">
        <f>+$E65*Z136</f>
        <v/>
      </c>
      <c r="AA66" s="782">
        <f>+$E65*AA136</f>
        <v/>
      </c>
      <c r="AB66" s="782">
        <f>+$E65*AB136</f>
        <v/>
      </c>
      <c r="AC66" s="782">
        <f>+$E65*AC136</f>
        <v/>
      </c>
      <c r="AD66" s="782">
        <f>+$E65*AD136</f>
        <v/>
      </c>
      <c r="AE66" s="782">
        <f>+$E65*AE136</f>
        <v/>
      </c>
      <c r="AF66" s="782">
        <f>+$E65*AF136</f>
        <v/>
      </c>
      <c r="AG66" s="782">
        <f>+$E65*AG136</f>
        <v/>
      </c>
      <c r="AH66" s="782" t="n"/>
      <c r="AI66" s="686" t="n"/>
      <c r="AJ66" s="782" t="n"/>
      <c r="AK66" s="686" t="n"/>
    </row>
    <row r="67" ht="14" customHeight="1" s="549">
      <c r="A67" s="681" t="n"/>
      <c r="B67" s="681" t="inlineStr">
        <is>
          <t xml:space="preserve">Factura + Boleta </t>
        </is>
      </c>
      <c r="C67" s="783" t="inlineStr">
        <is>
          <t>10.3</t>
        </is>
      </c>
      <c r="D67" s="784" t="inlineStr">
        <is>
          <t>Impresión de manuales</t>
        </is>
      </c>
      <c r="E67" s="785">
        <f>+Supuestos!E69</f>
        <v/>
      </c>
      <c r="F67" s="784">
        <f>+F137</f>
        <v/>
      </c>
      <c r="G67" s="681" t="n"/>
      <c r="H67" s="787">
        <f>+$E66*H137</f>
        <v/>
      </c>
      <c r="I67" s="787">
        <f>+$E66*I137</f>
        <v/>
      </c>
      <c r="J67" s="787">
        <f>+$E66*J137</f>
        <v/>
      </c>
      <c r="K67" s="787">
        <f>+$E66*K137</f>
        <v/>
      </c>
      <c r="L67" s="787">
        <f>+$E66*L137</f>
        <v/>
      </c>
      <c r="M67" s="787">
        <f>+$E66*M137</f>
        <v/>
      </c>
      <c r="N67" s="787">
        <f>+$E66*N137</f>
        <v/>
      </c>
      <c r="O67" s="787">
        <f>+$E66*O137</f>
        <v/>
      </c>
      <c r="P67" s="787">
        <f>+$E66*P137</f>
        <v/>
      </c>
      <c r="Q67" s="787">
        <f>+$E66*Q137</f>
        <v/>
      </c>
      <c r="R67" s="787">
        <f>+$E66*R137</f>
        <v/>
      </c>
      <c r="S67" s="787">
        <f>+$E66*S137</f>
        <v/>
      </c>
      <c r="T67" s="787" t="n"/>
      <c r="U67" s="681" t="n"/>
      <c r="V67" s="787">
        <f>+$E66*V137</f>
        <v/>
      </c>
      <c r="W67" s="787">
        <f>+$E66*W137</f>
        <v/>
      </c>
      <c r="X67" s="787">
        <f>+$E66*X137</f>
        <v/>
      </c>
      <c r="Y67" s="787">
        <f>+$E66*Y137</f>
        <v/>
      </c>
      <c r="Z67" s="787">
        <f>+$E66*Z137</f>
        <v/>
      </c>
      <c r="AA67" s="787">
        <f>+$E66*AA137</f>
        <v/>
      </c>
      <c r="AB67" s="787">
        <f>+$E66*AB137</f>
        <v/>
      </c>
      <c r="AC67" s="787">
        <f>+$E66*AC137</f>
        <v/>
      </c>
      <c r="AD67" s="787">
        <f>+$E66*AD137</f>
        <v/>
      </c>
      <c r="AE67" s="787">
        <f>+$E66*AE137</f>
        <v/>
      </c>
      <c r="AF67" s="787">
        <f>+$E66*AF137</f>
        <v/>
      </c>
      <c r="AG67" s="787">
        <f>+$E66*AG137</f>
        <v/>
      </c>
      <c r="AH67" s="787" t="n"/>
      <c r="AI67" s="681" t="n"/>
      <c r="AJ67" s="787" t="n"/>
      <c r="AK67" s="681" t="n"/>
    </row>
    <row r="68" ht="14" customHeight="1" s="549">
      <c r="A68" s="686" t="n"/>
      <c r="B68" s="686" t="inlineStr">
        <is>
          <t xml:space="preserve">Factura + Boleta </t>
        </is>
      </c>
      <c r="C68" s="788" t="inlineStr">
        <is>
          <t>10.4</t>
        </is>
      </c>
      <c r="D68" s="789" t="inlineStr">
        <is>
          <t>Mantención y reparación de Vehículos</t>
        </is>
      </c>
      <c r="E68" s="790" t="n">
        <v>0</v>
      </c>
      <c r="F68" s="789">
        <f>+F138</f>
        <v/>
      </c>
      <c r="G68" s="686" t="n"/>
      <c r="H68" s="782">
        <f>+$E67*H138</f>
        <v/>
      </c>
      <c r="I68" s="782">
        <f>+$E67*I138</f>
        <v/>
      </c>
      <c r="J68" s="782">
        <f>+$E67*J138</f>
        <v/>
      </c>
      <c r="K68" s="782">
        <f>+$E67*K138</f>
        <v/>
      </c>
      <c r="L68" s="782">
        <f>+$E67*L138</f>
        <v/>
      </c>
      <c r="M68" s="782">
        <f>+$E67*M138</f>
        <v/>
      </c>
      <c r="N68" s="782">
        <f>+$E67*N138</f>
        <v/>
      </c>
      <c r="O68" s="782">
        <f>+$E67*O138</f>
        <v/>
      </c>
      <c r="P68" s="782">
        <f>+$E67*P138</f>
        <v/>
      </c>
      <c r="Q68" s="782">
        <f>+$E67*Q138</f>
        <v/>
      </c>
      <c r="R68" s="782">
        <f>+$E67*R138</f>
        <v/>
      </c>
      <c r="S68" s="782">
        <f>+$E67*S138</f>
        <v/>
      </c>
      <c r="T68" s="782" t="n"/>
      <c r="U68" s="686" t="n"/>
      <c r="V68" s="782">
        <f>+$E67*V138</f>
        <v/>
      </c>
      <c r="W68" s="782">
        <f>+$E67*W138</f>
        <v/>
      </c>
      <c r="X68" s="782">
        <f>+$E67*X138</f>
        <v/>
      </c>
      <c r="Y68" s="782">
        <f>+$E67*Y138</f>
        <v/>
      </c>
      <c r="Z68" s="782">
        <f>+$E67*Z138</f>
        <v/>
      </c>
      <c r="AA68" s="782">
        <f>+$E67*AA138</f>
        <v/>
      </c>
      <c r="AB68" s="782">
        <f>+$E67*AB138</f>
        <v/>
      </c>
      <c r="AC68" s="782">
        <f>+$E67*AC138</f>
        <v/>
      </c>
      <c r="AD68" s="782">
        <f>+$E67*AD138</f>
        <v/>
      </c>
      <c r="AE68" s="782">
        <f>+$E67*AE138</f>
        <v/>
      </c>
      <c r="AF68" s="782">
        <f>+$E67*AF138</f>
        <v/>
      </c>
      <c r="AG68" s="782">
        <f>+$E67*AG138</f>
        <v/>
      </c>
      <c r="AH68" s="782" t="n"/>
      <c r="AI68" s="686" t="n"/>
      <c r="AJ68" s="782" t="n"/>
      <c r="AK68" s="686" t="n"/>
    </row>
    <row r="69" ht="14" customHeight="1" s="549">
      <c r="A69" s="681" t="n"/>
      <c r="B69" s="681" t="inlineStr">
        <is>
          <t xml:space="preserve">Boleta </t>
        </is>
      </c>
      <c r="C69" s="783" t="inlineStr">
        <is>
          <t>10.5</t>
        </is>
      </c>
      <c r="D69" s="784" t="inlineStr">
        <is>
          <t xml:space="preserve">Otros varios </t>
        </is>
      </c>
      <c r="E69" s="785">
        <f>+Supuestos!E71</f>
        <v/>
      </c>
      <c r="F69" s="784">
        <f>+F139</f>
        <v/>
      </c>
      <c r="G69" s="681" t="n"/>
      <c r="H69" s="787">
        <f>+$E68*H139</f>
        <v/>
      </c>
      <c r="I69" s="787">
        <f>+$E68*I139</f>
        <v/>
      </c>
      <c r="J69" s="787">
        <f>+$E68*J139</f>
        <v/>
      </c>
      <c r="K69" s="787">
        <f>+$E68*K139</f>
        <v/>
      </c>
      <c r="L69" s="787">
        <f>+$E68*L139</f>
        <v/>
      </c>
      <c r="M69" s="787">
        <f>+$E68*M139</f>
        <v/>
      </c>
      <c r="N69" s="787">
        <f>+$E68*N139</f>
        <v/>
      </c>
      <c r="O69" s="787">
        <f>+$E68*O139</f>
        <v/>
      </c>
      <c r="P69" s="787">
        <f>+$E68*P139</f>
        <v/>
      </c>
      <c r="Q69" s="787">
        <f>+$E68*Q139</f>
        <v/>
      </c>
      <c r="R69" s="787">
        <f>+$E68*R139</f>
        <v/>
      </c>
      <c r="S69" s="787">
        <f>+$E68*S139</f>
        <v/>
      </c>
      <c r="T69" s="787" t="n"/>
      <c r="U69" s="681" t="n"/>
      <c r="V69" s="787">
        <f>+$E68*V139</f>
        <v/>
      </c>
      <c r="W69" s="787">
        <f>+$E68*W139</f>
        <v/>
      </c>
      <c r="X69" s="787">
        <f>+$E68*X139</f>
        <v/>
      </c>
      <c r="Y69" s="787">
        <f>+$E68*Y139</f>
        <v/>
      </c>
      <c r="Z69" s="787">
        <f>+$E68*Z139</f>
        <v/>
      </c>
      <c r="AA69" s="787">
        <f>+$E68*AA139</f>
        <v/>
      </c>
      <c r="AB69" s="787">
        <f>+$E68*AB139</f>
        <v/>
      </c>
      <c r="AC69" s="787">
        <f>+$E68*AC139</f>
        <v/>
      </c>
      <c r="AD69" s="787">
        <f>+$E68*AD139</f>
        <v/>
      </c>
      <c r="AE69" s="787">
        <f>+$E68*AE139</f>
        <v/>
      </c>
      <c r="AF69" s="787">
        <f>+$E68*AF139</f>
        <v/>
      </c>
      <c r="AG69" s="787">
        <f>+$E68*AG139</f>
        <v/>
      </c>
      <c r="AH69" s="787" t="n"/>
      <c r="AI69" s="681" t="n"/>
      <c r="AJ69" s="787" t="n"/>
      <c r="AK69" s="681" t="n"/>
    </row>
    <row r="70" ht="14" customHeight="1" s="549">
      <c r="A70" s="686" t="n"/>
      <c r="B70" s="686" t="n"/>
      <c r="C70" s="788" t="n"/>
      <c r="D70" s="789" t="n"/>
      <c r="E70" s="789" t="n"/>
      <c r="F70" s="789" t="n"/>
      <c r="G70" s="686" t="n"/>
      <c r="H70" s="782" t="n"/>
      <c r="I70" s="782" t="n"/>
      <c r="J70" s="782" t="n"/>
      <c r="K70" s="782" t="n"/>
      <c r="L70" s="782" t="n"/>
      <c r="M70" s="782" t="n"/>
      <c r="N70" s="782" t="n"/>
      <c r="O70" s="782" t="n"/>
      <c r="P70" s="782" t="n"/>
      <c r="Q70" s="782" t="n"/>
      <c r="R70" s="782" t="n"/>
      <c r="S70" s="782" t="n"/>
      <c r="T70" s="782" t="n"/>
      <c r="U70" s="686" t="n"/>
      <c r="V70" s="782" t="n"/>
      <c r="W70" s="782" t="n"/>
      <c r="X70" s="782" t="n"/>
      <c r="Y70" s="782" t="n"/>
      <c r="Z70" s="782" t="n"/>
      <c r="AA70" s="782" t="n"/>
      <c r="AB70" s="782" t="n"/>
      <c r="AC70" s="782" t="n"/>
      <c r="AD70" s="782" t="n"/>
      <c r="AE70" s="782" t="n"/>
      <c r="AF70" s="782" t="n"/>
      <c r="AG70" s="782" t="n"/>
      <c r="AH70" s="782" t="n"/>
      <c r="AI70" s="686" t="n"/>
      <c r="AJ70" s="782">
        <f>SUM(AJ5:AJ68)</f>
        <v/>
      </c>
      <c r="AK70" s="686" t="inlineStr">
        <is>
          <t>TOTAL</t>
        </is>
      </c>
    </row>
    <row r="71" ht="14" customHeight="1" s="549">
      <c r="A71" s="681" t="n"/>
      <c r="B71" s="681" t="n"/>
      <c r="C71" s="783" t="n"/>
      <c r="D71" s="784" t="n"/>
      <c r="E71" s="784" t="n"/>
      <c r="F71" s="784" t="n"/>
      <c r="G71" s="681" t="n"/>
      <c r="H71" s="787" t="n"/>
      <c r="I71" s="787" t="n"/>
      <c r="J71" s="787" t="n"/>
      <c r="K71" s="787" t="n"/>
      <c r="L71" s="787" t="n"/>
      <c r="M71" s="787" t="n"/>
      <c r="N71" s="787" t="n"/>
      <c r="O71" s="787" t="n"/>
      <c r="P71" s="787" t="n"/>
      <c r="Q71" s="787" t="n"/>
      <c r="R71" s="787" t="n"/>
      <c r="S71" s="787" t="n"/>
      <c r="T71" s="787" t="n"/>
      <c r="U71" s="681" t="n"/>
      <c r="V71" s="787" t="n"/>
      <c r="W71" s="787" t="n"/>
      <c r="X71" s="787" t="n"/>
      <c r="Y71" s="787" t="n"/>
      <c r="Z71" s="787" t="n"/>
      <c r="AA71" s="787" t="n"/>
      <c r="AB71" s="787" t="n"/>
      <c r="AC71" s="787" t="n"/>
      <c r="AD71" s="787" t="n"/>
      <c r="AE71" s="787" t="n"/>
      <c r="AF71" s="787" t="n"/>
      <c r="AG71" s="787" t="n"/>
      <c r="AH71" s="787" t="n"/>
      <c r="AI71" s="681" t="n"/>
      <c r="AJ71" s="787">
        <f>AJ69/60</f>
        <v/>
      </c>
      <c r="AK71" s="681" t="n"/>
    </row>
    <row r="72">
      <c r="C72" s="79" t="n"/>
      <c r="D72" s="80" t="n"/>
      <c r="E72" s="80" t="n"/>
      <c r="F72" s="80" t="n"/>
      <c r="H72" s="812" t="n"/>
      <c r="I72" s="812" t="n"/>
      <c r="J72" s="812" t="n"/>
      <c r="K72" s="812" t="n"/>
      <c r="L72" s="812" t="n"/>
      <c r="M72" s="812" t="n"/>
      <c r="N72" s="812" t="n"/>
      <c r="O72" s="812" t="n"/>
      <c r="P72" s="812" t="n"/>
      <c r="Q72" s="812" t="n"/>
      <c r="R72" s="812" t="n"/>
      <c r="S72" s="812" t="n"/>
      <c r="T72" s="812" t="n"/>
      <c r="V72" s="812" t="n"/>
      <c r="W72" s="812" t="n"/>
      <c r="X72" s="812" t="n"/>
      <c r="Y72" s="812" t="n"/>
      <c r="Z72" s="812" t="n"/>
      <c r="AA72" s="812" t="n"/>
      <c r="AB72" s="812" t="n"/>
      <c r="AC72" s="812" t="n"/>
      <c r="AD72" s="812" t="n"/>
      <c r="AE72" s="812" t="n"/>
      <c r="AF72" s="812" t="n"/>
      <c r="AG72" s="812" t="n"/>
      <c r="AH72" s="812" t="n"/>
      <c r="AJ72" s="812" t="n"/>
    </row>
    <row r="73"/>
    <row r="74" ht="11.25" customHeight="1" s="549"/>
    <row r="75" ht="14" customHeight="1" s="549">
      <c r="A75" s="686" t="n"/>
      <c r="B75" s="686" t="n"/>
      <c r="C75" s="686" t="n"/>
      <c r="D75" s="686" t="inlineStr">
        <is>
          <t>CANTIDAD</t>
        </is>
      </c>
      <c r="E75" s="686" t="n"/>
      <c r="F75" s="686" t="n"/>
      <c r="G75" s="686" t="n"/>
      <c r="H75" s="686" t="n"/>
      <c r="I75" s="686" t="n"/>
      <c r="J75" s="686" t="n"/>
      <c r="K75" s="686" t="n"/>
      <c r="L75" s="686" t="n"/>
      <c r="M75" s="686" t="n"/>
      <c r="N75" s="813" t="n"/>
      <c r="O75" s="813" t="n">
        <v>0.3</v>
      </c>
      <c r="P75" s="686" t="n"/>
      <c r="Q75" s="813" t="n"/>
      <c r="R75" s="814" t="n">
        <v>0.5</v>
      </c>
      <c r="S75" s="813" t="n">
        <v>0.2</v>
      </c>
      <c r="T75" s="686" t="n"/>
      <c r="U75" s="686" t="n"/>
      <c r="V75" s="814" t="n"/>
      <c r="W75" s="813" t="n"/>
      <c r="X75" s="686" t="n"/>
      <c r="Y75" s="686" t="n"/>
      <c r="Z75" s="686" t="n"/>
      <c r="AA75" s="686" t="n"/>
      <c r="AB75" s="686" t="n"/>
      <c r="AC75" s="686" t="n"/>
      <c r="AD75" s="686" t="n"/>
      <c r="AE75" s="686" t="n"/>
      <c r="AF75" s="686" t="n"/>
      <c r="AG75" s="686" t="n"/>
      <c r="AH75" s="686" t="n"/>
      <c r="AI75" s="686" t="n"/>
      <c r="AJ75" s="686" t="n"/>
      <c r="AK75" s="686" t="n"/>
    </row>
    <row r="76" ht="14" customHeight="1" s="549">
      <c r="A76" s="681" t="n"/>
      <c r="B76" s="681" t="inlineStr">
        <is>
          <t>Forma pago</t>
        </is>
      </c>
      <c r="C76" s="689" t="inlineStr">
        <is>
          <t>Nivel</t>
        </is>
      </c>
      <c r="D76" s="688" t="inlineStr">
        <is>
          <t>Item</t>
        </is>
      </c>
      <c r="E76" s="733" t="inlineStr">
        <is>
          <t>Cantidad</t>
        </is>
      </c>
      <c r="F76" s="733" t="inlineStr">
        <is>
          <t>Cantidad</t>
        </is>
      </c>
      <c r="G76" s="681" t="n"/>
      <c r="H76" s="777" t="n">
        <v>46023</v>
      </c>
      <c r="I76" s="777" t="n">
        <v>46054</v>
      </c>
      <c r="J76" s="777" t="n">
        <v>46082</v>
      </c>
      <c r="K76" s="777" t="n">
        <v>46113</v>
      </c>
      <c r="L76" s="777" t="n">
        <v>46143</v>
      </c>
      <c r="M76" s="777" t="n">
        <v>46174</v>
      </c>
      <c r="N76" s="777" t="n">
        <v>46204</v>
      </c>
      <c r="O76" s="777" t="n">
        <v>46235</v>
      </c>
      <c r="P76" s="777" t="n">
        <v>46266</v>
      </c>
      <c r="Q76" s="777" t="n">
        <v>46296</v>
      </c>
      <c r="R76" s="777" t="n">
        <v>46327</v>
      </c>
      <c r="S76" s="777" t="n">
        <v>46357</v>
      </c>
      <c r="T76" s="778" t="n">
        <v>2026</v>
      </c>
      <c r="U76" s="681" t="n"/>
      <c r="V76" s="777" t="n">
        <v>46388</v>
      </c>
      <c r="W76" s="777" t="n">
        <v>46419</v>
      </c>
      <c r="X76" s="777" t="n">
        <v>46447</v>
      </c>
      <c r="Y76" s="777" t="n">
        <v>46478</v>
      </c>
      <c r="Z76" s="777" t="n">
        <v>46508</v>
      </c>
      <c r="AA76" s="777" t="n">
        <v>46539</v>
      </c>
      <c r="AB76" s="777" t="n">
        <v>46569</v>
      </c>
      <c r="AC76" s="777" t="n">
        <v>46600</v>
      </c>
      <c r="AD76" s="777" t="n">
        <v>46631</v>
      </c>
      <c r="AE76" s="777" t="n">
        <v>46661</v>
      </c>
      <c r="AF76" s="777" t="n">
        <v>46692</v>
      </c>
      <c r="AG76" s="777" t="n">
        <v>46722</v>
      </c>
      <c r="AH76" s="778" t="n">
        <v>2027</v>
      </c>
      <c r="AI76" s="681" t="n"/>
      <c r="AJ76" s="681" t="n"/>
      <c r="AK76" s="681" t="n"/>
    </row>
    <row r="77" ht="14" customHeight="1" s="549">
      <c r="A77" s="686" t="n"/>
      <c r="B77" s="686" t="n"/>
      <c r="C77" s="771" t="n">
        <v>1</v>
      </c>
      <c r="D77" s="682" t="inlineStr">
        <is>
          <t>Compras activables ZIMPERTEC</t>
        </is>
      </c>
      <c r="E77" s="780">
        <f>+E5</f>
        <v/>
      </c>
      <c r="F77" s="682" t="n"/>
      <c r="G77" s="686" t="n"/>
      <c r="H77" s="800" t="n">
        <v>0</v>
      </c>
      <c r="I77" s="800" t="n">
        <v>0</v>
      </c>
      <c r="J77" s="800" t="n">
        <v>0</v>
      </c>
      <c r="K77" s="800" t="n">
        <v>0</v>
      </c>
      <c r="L77" s="800" t="n">
        <v>0</v>
      </c>
      <c r="M77" s="800" t="n">
        <v>0</v>
      </c>
      <c r="N77" s="800" t="n">
        <v>0</v>
      </c>
      <c r="O77" s="800" t="n">
        <v>0</v>
      </c>
      <c r="P77" s="800" t="n">
        <v>0</v>
      </c>
      <c r="Q77" s="800" t="n">
        <v>0</v>
      </c>
      <c r="R77" s="800" t="n">
        <v>0</v>
      </c>
      <c r="S77" s="800" t="n">
        <v>0</v>
      </c>
      <c r="T77" s="800" t="n"/>
      <c r="U77" s="800" t="n"/>
      <c r="V77" s="800" t="n">
        <v>0</v>
      </c>
      <c r="W77" s="800" t="n">
        <v>0</v>
      </c>
      <c r="X77" s="800" t="n">
        <v>0</v>
      </c>
      <c r="Y77" s="800" t="n">
        <v>0</v>
      </c>
      <c r="Z77" s="800" t="n">
        <v>0</v>
      </c>
      <c r="AA77" s="800" t="n">
        <v>0</v>
      </c>
      <c r="AB77" s="800" t="n">
        <v>0</v>
      </c>
      <c r="AC77" s="800" t="n">
        <v>0</v>
      </c>
      <c r="AD77" s="800" t="n">
        <v>0</v>
      </c>
      <c r="AE77" s="800" t="n">
        <v>0</v>
      </c>
      <c r="AF77" s="800" t="n">
        <v>0</v>
      </c>
      <c r="AG77" s="800" t="n">
        <v>0</v>
      </c>
      <c r="AH77" s="800" t="n"/>
      <c r="AI77" s="686" t="n"/>
      <c r="AJ77" s="686" t="n"/>
      <c r="AK77" s="686" t="n"/>
    </row>
    <row r="78" ht="14" customHeight="1" s="549">
      <c r="A78" s="681" t="n"/>
      <c r="B78" s="681" t="inlineStr">
        <is>
          <t>Factura</t>
        </is>
      </c>
      <c r="C78" s="783" t="inlineStr">
        <is>
          <t>1.1</t>
        </is>
      </c>
      <c r="D78" s="784" t="inlineStr">
        <is>
          <t>Sistemas AC</t>
        </is>
      </c>
      <c r="E78" s="785">
        <f>+E6</f>
        <v/>
      </c>
      <c r="F78" s="786">
        <f>+Supuestos!H9</f>
        <v/>
      </c>
      <c r="G78" s="681" t="n"/>
      <c r="H78" s="799">
        <f>+$F77*H$74</f>
        <v/>
      </c>
      <c r="I78" s="799">
        <f>+$F77*I$74</f>
        <v/>
      </c>
      <c r="J78" s="799">
        <f>+$F77*J$74</f>
        <v/>
      </c>
      <c r="K78" s="799">
        <f>+$F77*K$74</f>
        <v/>
      </c>
      <c r="L78" s="799">
        <f>+$F77*L$74</f>
        <v/>
      </c>
      <c r="M78" s="799">
        <f>+$F77*M$74</f>
        <v/>
      </c>
      <c r="N78" s="799">
        <f>+$F77*N$74</f>
        <v/>
      </c>
      <c r="O78" s="799">
        <f>+$F77*O$74</f>
        <v/>
      </c>
      <c r="P78" s="799">
        <f>+$F77*P$74</f>
        <v/>
      </c>
      <c r="Q78" s="799">
        <f>+$F77*Q$74</f>
        <v/>
      </c>
      <c r="R78" s="799">
        <f>+$F77*R$74</f>
        <v/>
      </c>
      <c r="S78" s="799">
        <f>+$F77*S$74</f>
        <v/>
      </c>
      <c r="T78" s="799" t="n"/>
      <c r="U78" s="799" t="n"/>
      <c r="V78" s="799">
        <f>+$F77*V$74</f>
        <v/>
      </c>
      <c r="W78" s="799">
        <f>+$F77*W$74</f>
        <v/>
      </c>
      <c r="X78" s="799">
        <f>+$F77*X$74</f>
        <v/>
      </c>
      <c r="Y78" s="799">
        <f>+$F77*Y$74</f>
        <v/>
      </c>
      <c r="Z78" s="799">
        <f>+$F77*Z$74</f>
        <v/>
      </c>
      <c r="AA78" s="799">
        <f>+$F77*AA$74</f>
        <v/>
      </c>
      <c r="AB78" s="799">
        <f>+$F77*AB$74</f>
        <v/>
      </c>
      <c r="AC78" s="799">
        <f>+$F77*AC$74</f>
        <v/>
      </c>
      <c r="AD78" s="799">
        <f>+$F77*AD$74</f>
        <v/>
      </c>
      <c r="AE78" s="799">
        <f>+$F77*AE$74</f>
        <v/>
      </c>
      <c r="AF78" s="799">
        <f>+$F77*AF$74</f>
        <v/>
      </c>
      <c r="AG78" s="799">
        <f>+$F77*AG$74</f>
        <v/>
      </c>
      <c r="AH78" s="799" t="n"/>
      <c r="AI78" s="681" t="n"/>
      <c r="AJ78" s="681" t="n"/>
      <c r="AK78" s="681" t="n"/>
    </row>
    <row r="79" ht="14" customHeight="1" s="549">
      <c r="A79" s="686" t="n"/>
      <c r="B79" s="686" t="inlineStr">
        <is>
          <t>Factura</t>
        </is>
      </c>
      <c r="C79" s="788" t="inlineStr">
        <is>
          <t>1.2</t>
        </is>
      </c>
      <c r="D79" s="789" t="inlineStr">
        <is>
          <t xml:space="preserve">Paneles </t>
        </is>
      </c>
      <c r="E79" s="790">
        <f>+E7</f>
        <v/>
      </c>
      <c r="F79" s="791">
        <f>+Supuestos!H10</f>
        <v/>
      </c>
      <c r="G79" s="686" t="n"/>
      <c r="H79" s="800">
        <f>+$F78*H$74</f>
        <v/>
      </c>
      <c r="I79" s="800">
        <f>+$F78*I$74</f>
        <v/>
      </c>
      <c r="J79" s="800">
        <f>+$F78*J$74</f>
        <v/>
      </c>
      <c r="K79" s="800">
        <f>+$F78*K$74</f>
        <v/>
      </c>
      <c r="L79" s="800">
        <f>+$F78*L$74</f>
        <v/>
      </c>
      <c r="M79" s="800">
        <f>+$F78*M$74</f>
        <v/>
      </c>
      <c r="N79" s="800">
        <f>+$F78*N$74</f>
        <v/>
      </c>
      <c r="O79" s="800">
        <f>+$F78*O$74</f>
        <v/>
      </c>
      <c r="P79" s="800">
        <f>+$F78*P$74</f>
        <v/>
      </c>
      <c r="Q79" s="800">
        <f>+$F78*Q$74</f>
        <v/>
      </c>
      <c r="R79" s="800">
        <f>+$F78*R$74</f>
        <v/>
      </c>
      <c r="S79" s="800">
        <f>+$F78*S$74</f>
        <v/>
      </c>
      <c r="T79" s="800" t="n"/>
      <c r="U79" s="800" t="n"/>
      <c r="V79" s="800">
        <f>+$F78*V$74</f>
        <v/>
      </c>
      <c r="W79" s="800">
        <f>+$F78*W$74</f>
        <v/>
      </c>
      <c r="X79" s="800">
        <f>+$F78*X$74</f>
        <v/>
      </c>
      <c r="Y79" s="800">
        <f>+$F78*Y$74</f>
        <v/>
      </c>
      <c r="Z79" s="800">
        <f>+$F78*Z$74</f>
        <v/>
      </c>
      <c r="AA79" s="800">
        <f>+$F78*AA$74</f>
        <v/>
      </c>
      <c r="AB79" s="800">
        <f>+$F78*AB$74</f>
        <v/>
      </c>
      <c r="AC79" s="800">
        <f>+$F78*AC$74</f>
        <v/>
      </c>
      <c r="AD79" s="800">
        <f>+$F78*AD$74</f>
        <v/>
      </c>
      <c r="AE79" s="800">
        <f>+$F78*AE$74</f>
        <v/>
      </c>
      <c r="AF79" s="800">
        <f>+$F78*AF$74</f>
        <v/>
      </c>
      <c r="AG79" s="800">
        <f>+$F78*AG$74</f>
        <v/>
      </c>
      <c r="AH79" s="800" t="n"/>
      <c r="AI79" s="686" t="n"/>
      <c r="AJ79" s="686" t="n"/>
      <c r="AK79" s="686" t="n"/>
    </row>
    <row r="80" ht="14" customHeight="1" s="549">
      <c r="A80" s="681" t="n"/>
      <c r="B80" s="681" t="inlineStr">
        <is>
          <t>Factura</t>
        </is>
      </c>
      <c r="C80" s="783" t="inlineStr">
        <is>
          <t>1.3</t>
        </is>
      </c>
      <c r="D80" s="784" t="inlineStr">
        <is>
          <t>Lamparas</t>
        </is>
      </c>
      <c r="E80" s="785">
        <f>+E8</f>
        <v/>
      </c>
      <c r="F80" s="786">
        <f>+Supuestos!H11</f>
        <v/>
      </c>
      <c r="G80" s="681" t="n"/>
      <c r="H80" s="799">
        <f>+$F79*H$74</f>
        <v/>
      </c>
      <c r="I80" s="799">
        <f>+$F79*I$74</f>
        <v/>
      </c>
      <c r="J80" s="799">
        <f>+$F79*J$74</f>
        <v/>
      </c>
      <c r="K80" s="799">
        <f>+$F79*K$74</f>
        <v/>
      </c>
      <c r="L80" s="799">
        <f>+$F79*L$74</f>
        <v/>
      </c>
      <c r="M80" s="799">
        <f>+$F79*M$74</f>
        <v/>
      </c>
      <c r="N80" s="799">
        <f>+$F79*N$74</f>
        <v/>
      </c>
      <c r="O80" s="799">
        <f>+$F79*O$74</f>
        <v/>
      </c>
      <c r="P80" s="799">
        <f>+$F79*P$74</f>
        <v/>
      </c>
      <c r="Q80" s="799">
        <f>+$F79*Q$74</f>
        <v/>
      </c>
      <c r="R80" s="799">
        <f>+$F79*R$74</f>
        <v/>
      </c>
      <c r="S80" s="799">
        <f>+$F79*S$74</f>
        <v/>
      </c>
      <c r="T80" s="799" t="n"/>
      <c r="U80" s="799" t="n"/>
      <c r="V80" s="799">
        <f>+$F79*V$74</f>
        <v/>
      </c>
      <c r="W80" s="799">
        <f>+$F79*W$74</f>
        <v/>
      </c>
      <c r="X80" s="799">
        <f>+$F79*X$74</f>
        <v/>
      </c>
      <c r="Y80" s="799">
        <f>+$F79*Y$74</f>
        <v/>
      </c>
      <c r="Z80" s="799">
        <f>+$F79*Z$74</f>
        <v/>
      </c>
      <c r="AA80" s="799">
        <f>+$F79*AA$74</f>
        <v/>
      </c>
      <c r="AB80" s="799">
        <f>+$F79*AB$74</f>
        <v/>
      </c>
      <c r="AC80" s="799">
        <f>+$F79*AC$74</f>
        <v/>
      </c>
      <c r="AD80" s="799">
        <f>+$F79*AD$74</f>
        <v/>
      </c>
      <c r="AE80" s="799">
        <f>+$F79*AE$74</f>
        <v/>
      </c>
      <c r="AF80" s="799">
        <f>+$F79*AF$74</f>
        <v/>
      </c>
      <c r="AG80" s="799">
        <f>+$F79*AG$74</f>
        <v/>
      </c>
      <c r="AH80" s="799" t="n"/>
      <c r="AI80" s="681" t="n"/>
      <c r="AJ80" s="681" t="n"/>
      <c r="AK80" s="681" t="n"/>
    </row>
    <row r="81" ht="14" customHeight="1" s="549">
      <c r="A81" s="686" t="n"/>
      <c r="B81" s="686" t="inlineStr">
        <is>
          <t>Factura</t>
        </is>
      </c>
      <c r="C81" s="788" t="inlineStr">
        <is>
          <t>1.4</t>
        </is>
      </c>
      <c r="D81" s="789" t="inlineStr">
        <is>
          <t>Hardware Monitoreo</t>
        </is>
      </c>
      <c r="E81" s="790">
        <f>+E9</f>
        <v/>
      </c>
      <c r="F81" s="791">
        <f>+Supuestos!H12</f>
        <v/>
      </c>
      <c r="G81" s="686" t="n"/>
      <c r="H81" s="800">
        <f>+$F80*H$74</f>
        <v/>
      </c>
      <c r="I81" s="800">
        <f>+$F80*I$74</f>
        <v/>
      </c>
      <c r="J81" s="800">
        <f>+$F80*J$74</f>
        <v/>
      </c>
      <c r="K81" s="800">
        <f>+$F80*K$74</f>
        <v/>
      </c>
      <c r="L81" s="800">
        <f>+$F80*L$74</f>
        <v/>
      </c>
      <c r="M81" s="800">
        <f>+$F80*M$74</f>
        <v/>
      </c>
      <c r="N81" s="800">
        <f>+$F80*N$74</f>
        <v/>
      </c>
      <c r="O81" s="800">
        <f>+$F80*O$74</f>
        <v/>
      </c>
      <c r="P81" s="800">
        <f>+$F80*P$74</f>
        <v/>
      </c>
      <c r="Q81" s="800">
        <f>+$F80*Q$74</f>
        <v/>
      </c>
      <c r="R81" s="800">
        <f>+$F80*R$74</f>
        <v/>
      </c>
      <c r="S81" s="800">
        <f>+$F80*S$74</f>
        <v/>
      </c>
      <c r="T81" s="800" t="n"/>
      <c r="U81" s="800" t="n"/>
      <c r="V81" s="800">
        <f>+$F80*V$74</f>
        <v/>
      </c>
      <c r="W81" s="800">
        <f>+$F80*W$74</f>
        <v/>
      </c>
      <c r="X81" s="800">
        <f>+$F80*X$74</f>
        <v/>
      </c>
      <c r="Y81" s="800">
        <f>+$F80*Y$74</f>
        <v/>
      </c>
      <c r="Z81" s="800">
        <f>+$F80*Z$74</f>
        <v/>
      </c>
      <c r="AA81" s="800">
        <f>+$F80*AA$74</f>
        <v/>
      </c>
      <c r="AB81" s="800">
        <f>+$F80*AB$74</f>
        <v/>
      </c>
      <c r="AC81" s="800">
        <f>+$F80*AC$74</f>
        <v/>
      </c>
      <c r="AD81" s="800">
        <f>+$F80*AD$74</f>
        <v/>
      </c>
      <c r="AE81" s="800">
        <f>+$F80*AE$74</f>
        <v/>
      </c>
      <c r="AF81" s="800">
        <f>+$F80*AF$74</f>
        <v/>
      </c>
      <c r="AG81" s="800">
        <f>+$F80*AG$74</f>
        <v/>
      </c>
      <c r="AH81" s="800" t="n"/>
      <c r="AI81" s="686" t="n"/>
      <c r="AJ81" s="686" t="n"/>
      <c r="AK81" s="686" t="n"/>
    </row>
    <row r="82" ht="14" customHeight="1" s="549">
      <c r="A82" s="681" t="n"/>
      <c r="B82" s="681" t="inlineStr">
        <is>
          <t>Factura</t>
        </is>
      </c>
      <c r="C82" s="783" t="inlineStr">
        <is>
          <t>1.5</t>
        </is>
      </c>
      <c r="D82" s="784" t="inlineStr">
        <is>
          <t>Software Monitoreo</t>
        </is>
      </c>
      <c r="E82" s="785">
        <f>+E10</f>
        <v/>
      </c>
      <c r="F82" s="786">
        <f>+Supuestos!H13</f>
        <v/>
      </c>
      <c r="G82" s="681" t="n"/>
      <c r="H82" s="799">
        <f>+$F81*H$74</f>
        <v/>
      </c>
      <c r="I82" s="799">
        <f>+$F81*I$74</f>
        <v/>
      </c>
      <c r="J82" s="799">
        <f>+$F81*J$74</f>
        <v/>
      </c>
      <c r="K82" s="799">
        <f>+$F81*K$74</f>
        <v/>
      </c>
      <c r="L82" s="799">
        <f>+$F81*L$74</f>
        <v/>
      </c>
      <c r="M82" s="799">
        <f>+$F81*M$74</f>
        <v/>
      </c>
      <c r="N82" s="799">
        <f>+$F81*N$74</f>
        <v/>
      </c>
      <c r="O82" s="799">
        <f>+$F81*O$74</f>
        <v/>
      </c>
      <c r="P82" s="799">
        <f>+$F81*P$74</f>
        <v/>
      </c>
      <c r="Q82" s="799">
        <f>+$F81*Q$74</f>
        <v/>
      </c>
      <c r="R82" s="799">
        <f>+$F81*R$74</f>
        <v/>
      </c>
      <c r="S82" s="799">
        <f>+$F81*S$74</f>
        <v/>
      </c>
      <c r="T82" s="799" t="n"/>
      <c r="U82" s="799" t="n"/>
      <c r="V82" s="799">
        <f>+$F81*V$74</f>
        <v/>
      </c>
      <c r="W82" s="799">
        <f>+$F81*W$74</f>
        <v/>
      </c>
      <c r="X82" s="799">
        <f>+$F81*X$74</f>
        <v/>
      </c>
      <c r="Y82" s="799">
        <f>+$F81*Y$74</f>
        <v/>
      </c>
      <c r="Z82" s="799">
        <f>+$F81*Z$74</f>
        <v/>
      </c>
      <c r="AA82" s="799">
        <f>+$F81*AA$74</f>
        <v/>
      </c>
      <c r="AB82" s="799">
        <f>+$F81*AB$74</f>
        <v/>
      </c>
      <c r="AC82" s="799">
        <f>+$F81*AC$74</f>
        <v/>
      </c>
      <c r="AD82" s="799">
        <f>+$F81*AD$74</f>
        <v/>
      </c>
      <c r="AE82" s="799">
        <f>+$F81*AE$74</f>
        <v/>
      </c>
      <c r="AF82" s="799">
        <f>+$F81*AF$74</f>
        <v/>
      </c>
      <c r="AG82" s="799">
        <f>+$F81*AG$74</f>
        <v/>
      </c>
      <c r="AH82" s="799" t="n"/>
      <c r="AI82" s="681" t="n"/>
      <c r="AJ82" s="681" t="n"/>
      <c r="AK82" s="681" t="n"/>
    </row>
    <row r="83" ht="14" customHeight="1" s="549">
      <c r="A83" s="686" t="n"/>
      <c r="B83" s="686" t="inlineStr">
        <is>
          <t>Factura</t>
        </is>
      </c>
      <c r="C83" s="788" t="inlineStr">
        <is>
          <t>1.6</t>
        </is>
      </c>
      <c r="D83" s="789" t="inlineStr">
        <is>
          <t>Repuestos</t>
        </is>
      </c>
      <c r="E83" s="790">
        <f>+E11</f>
        <v/>
      </c>
      <c r="F83" s="791" t="n">
        <v>1</v>
      </c>
      <c r="G83" s="686" t="n"/>
      <c r="H83" s="800">
        <f>+$F82*H$74</f>
        <v/>
      </c>
      <c r="I83" s="800">
        <f>+$F82*I$74</f>
        <v/>
      </c>
      <c r="J83" s="800">
        <f>+$F82*J$74</f>
        <v/>
      </c>
      <c r="K83" s="800">
        <f>+$F82*K$74</f>
        <v/>
      </c>
      <c r="L83" s="800">
        <f>+$F82*L$74</f>
        <v/>
      </c>
      <c r="M83" s="800">
        <f>+$F82*M$74</f>
        <v/>
      </c>
      <c r="N83" s="800">
        <f>+$F82*N$74</f>
        <v/>
      </c>
      <c r="O83" s="800">
        <f>+$F82*O$74</f>
        <v/>
      </c>
      <c r="P83" s="800">
        <f>+$F82*P$74</f>
        <v/>
      </c>
      <c r="Q83" s="800">
        <f>+$F82*Q$74</f>
        <v/>
      </c>
      <c r="R83" s="800">
        <f>+$F82*R$74</f>
        <v/>
      </c>
      <c r="S83" s="800">
        <f>+$F82*S$74</f>
        <v/>
      </c>
      <c r="T83" s="800" t="n"/>
      <c r="U83" s="800" t="n"/>
      <c r="V83" s="800">
        <f>+$F82*V$74</f>
        <v/>
      </c>
      <c r="W83" s="800">
        <f>+$F82*W$74</f>
        <v/>
      </c>
      <c r="X83" s="800">
        <f>+$F82*X$74</f>
        <v/>
      </c>
      <c r="Y83" s="800">
        <f>+$F82*Y$74</f>
        <v/>
      </c>
      <c r="Z83" s="800">
        <f>+$F82*Z$74</f>
        <v/>
      </c>
      <c r="AA83" s="800">
        <f>+$F82*AA$74</f>
        <v/>
      </c>
      <c r="AB83" s="800">
        <f>+$F82*AB$74</f>
        <v/>
      </c>
      <c r="AC83" s="800">
        <f>+$F82*AC$74</f>
        <v/>
      </c>
      <c r="AD83" s="800">
        <f>+$F82*AD$74</f>
        <v/>
      </c>
      <c r="AE83" s="800">
        <f>+$F82*AE$74</f>
        <v/>
      </c>
      <c r="AF83" s="800">
        <f>+$F82*AF$74</f>
        <v/>
      </c>
      <c r="AG83" s="800">
        <f>+$F82*AG$74</f>
        <v/>
      </c>
      <c r="AH83" s="800" t="n"/>
      <c r="AI83" s="686" t="n"/>
      <c r="AJ83" s="686" t="n"/>
      <c r="AK83" s="686" t="n"/>
    </row>
    <row r="84" ht="14" customHeight="1" s="549">
      <c r="A84" s="681" t="n"/>
      <c r="B84" s="681" t="inlineStr">
        <is>
          <t>Factura</t>
        </is>
      </c>
      <c r="C84" s="783" t="inlineStr">
        <is>
          <t>1.7</t>
        </is>
      </c>
      <c r="D84" s="784" t="inlineStr">
        <is>
          <t>Flete</t>
        </is>
      </c>
      <c r="E84" s="785">
        <f>+E12</f>
        <v/>
      </c>
      <c r="F84" s="786">
        <f>+Supuestos!H15</f>
        <v/>
      </c>
      <c r="G84" s="681" t="n"/>
      <c r="H84" s="799">
        <f>+$F83*H$74</f>
        <v/>
      </c>
      <c r="I84" s="799">
        <f>+$F83*I$74</f>
        <v/>
      </c>
      <c r="J84" s="799">
        <f>+$F83*J$74</f>
        <v/>
      </c>
      <c r="K84" s="799">
        <f>+$F83*K$74</f>
        <v/>
      </c>
      <c r="L84" s="799">
        <f>+$F83*L$74</f>
        <v/>
      </c>
      <c r="M84" s="799">
        <f>+$F83*M$74</f>
        <v/>
      </c>
      <c r="N84" s="799">
        <f>+$F83*N$74</f>
        <v/>
      </c>
      <c r="O84" s="799">
        <f>+$F83*O$74</f>
        <v/>
      </c>
      <c r="P84" s="799">
        <f>+$F83*P$74</f>
        <v/>
      </c>
      <c r="Q84" s="799">
        <f>+$F83*Q$74</f>
        <v/>
      </c>
      <c r="R84" s="799">
        <f>+$F83*R$74</f>
        <v/>
      </c>
      <c r="S84" s="799">
        <f>+$F83*S$74</f>
        <v/>
      </c>
      <c r="T84" s="799" t="n"/>
      <c r="U84" s="799" t="n"/>
      <c r="V84" s="799">
        <f>+$F83*V$74</f>
        <v/>
      </c>
      <c r="W84" s="799">
        <f>+$F83*W$74</f>
        <v/>
      </c>
      <c r="X84" s="799">
        <f>+$F83*X$74</f>
        <v/>
      </c>
      <c r="Y84" s="799">
        <f>+$F83*Y$74</f>
        <v/>
      </c>
      <c r="Z84" s="799">
        <f>+$F83*Z$74</f>
        <v/>
      </c>
      <c r="AA84" s="799">
        <f>+$F83*AA$74</f>
        <v/>
      </c>
      <c r="AB84" s="799">
        <f>+$F83*AB$74</f>
        <v/>
      </c>
      <c r="AC84" s="799">
        <f>+$F83*AC$74</f>
        <v/>
      </c>
      <c r="AD84" s="799">
        <f>+$F83*AD$74</f>
        <v/>
      </c>
      <c r="AE84" s="799">
        <f>+$F83*AE$74</f>
        <v/>
      </c>
      <c r="AF84" s="799">
        <f>+$F83*AF$74</f>
        <v/>
      </c>
      <c r="AG84" s="799">
        <f>+$F83*AG$74</f>
        <v/>
      </c>
      <c r="AH84" s="799" t="n"/>
      <c r="AI84" s="681" t="n"/>
      <c r="AJ84" s="681" t="n"/>
      <c r="AK84" s="681" t="n"/>
    </row>
    <row r="85" ht="14" customHeight="1" s="549">
      <c r="A85" s="686" t="n"/>
      <c r="B85" s="686" t="inlineStr">
        <is>
          <t>Factura</t>
        </is>
      </c>
      <c r="C85" s="788" t="inlineStr">
        <is>
          <t>7.2</t>
        </is>
      </c>
      <c r="D85" s="789" t="inlineStr">
        <is>
          <t>Transporte DESCONSOLIDADO</t>
        </is>
      </c>
      <c r="E85" s="790">
        <f>+E13</f>
        <v/>
      </c>
      <c r="F85" s="789" t="n"/>
      <c r="G85" s="686" t="n"/>
      <c r="H85" s="800" t="n">
        <v>0</v>
      </c>
      <c r="I85" s="800" t="n">
        <v>0</v>
      </c>
      <c r="J85" s="800" t="n">
        <v>0</v>
      </c>
      <c r="K85" s="800" t="n">
        <v>0</v>
      </c>
      <c r="L85" s="800" t="n">
        <v>0</v>
      </c>
      <c r="M85" s="800" t="n">
        <v>0</v>
      </c>
      <c r="N85" s="800" t="n">
        <v>0</v>
      </c>
      <c r="O85" s="800" t="n">
        <v>0</v>
      </c>
      <c r="P85" s="800" t="n">
        <v>0</v>
      </c>
      <c r="Q85" s="800" t="n"/>
      <c r="R85" s="800" t="n">
        <v>1</v>
      </c>
      <c r="S85" s="800" t="n">
        <v>0</v>
      </c>
      <c r="T85" s="800" t="n"/>
      <c r="U85" s="800" t="n"/>
      <c r="V85" s="800" t="n">
        <v>0</v>
      </c>
      <c r="W85" s="800" t="n">
        <v>0</v>
      </c>
      <c r="X85" s="800" t="n">
        <v>0</v>
      </c>
      <c r="Y85" s="800" t="n">
        <v>0</v>
      </c>
      <c r="Z85" s="800" t="n">
        <v>0</v>
      </c>
      <c r="AA85" s="800" t="n">
        <v>0</v>
      </c>
      <c r="AB85" s="800" t="n">
        <v>0</v>
      </c>
      <c r="AC85" s="800" t="n">
        <v>0</v>
      </c>
      <c r="AD85" s="800" t="n">
        <v>0</v>
      </c>
      <c r="AE85" s="800" t="n">
        <v>0</v>
      </c>
      <c r="AF85" s="800" t="n">
        <v>0</v>
      </c>
      <c r="AG85" s="800" t="n">
        <v>0</v>
      </c>
      <c r="AH85" s="800" t="n"/>
      <c r="AI85" s="686" t="n"/>
      <c r="AJ85" s="686" t="n"/>
      <c r="AK85" s="686" t="n"/>
    </row>
    <row r="86" ht="14" customHeight="1" s="549">
      <c r="A86" s="681" t="n"/>
      <c r="B86" s="681" t="inlineStr">
        <is>
          <t>Factura</t>
        </is>
      </c>
      <c r="C86" s="783" t="inlineStr">
        <is>
          <t>7.5</t>
        </is>
      </c>
      <c r="D86" s="784" t="inlineStr">
        <is>
          <t>Grúa en Origen</t>
        </is>
      </c>
      <c r="E86" s="785">
        <f>+E14</f>
        <v/>
      </c>
      <c r="F86" s="784" t="n"/>
      <c r="G86" s="681" t="n"/>
      <c r="H86" s="799" t="n">
        <v>0</v>
      </c>
      <c r="I86" s="799" t="n">
        <v>0</v>
      </c>
      <c r="J86" s="799" t="n">
        <v>0</v>
      </c>
      <c r="K86" s="799" t="n">
        <v>0</v>
      </c>
      <c r="L86" s="799" t="n">
        <v>0</v>
      </c>
      <c r="M86" s="799" t="n">
        <v>0</v>
      </c>
      <c r="N86" s="799" t="n">
        <v>0</v>
      </c>
      <c r="O86" s="799" t="n">
        <v>0</v>
      </c>
      <c r="P86" s="799" t="n">
        <v>0</v>
      </c>
      <c r="Q86" s="799" t="n"/>
      <c r="R86" s="799" t="n">
        <v>1</v>
      </c>
      <c r="S86" s="799" t="n">
        <v>0</v>
      </c>
      <c r="T86" s="799" t="n"/>
      <c r="U86" s="799" t="n"/>
      <c r="V86" s="799" t="n">
        <v>0</v>
      </c>
      <c r="W86" s="799" t="n">
        <v>0</v>
      </c>
      <c r="X86" s="799" t="n">
        <v>0</v>
      </c>
      <c r="Y86" s="799" t="n">
        <v>0</v>
      </c>
      <c r="Z86" s="799" t="n">
        <v>0</v>
      </c>
      <c r="AA86" s="799" t="n">
        <v>0</v>
      </c>
      <c r="AB86" s="799" t="n">
        <v>0</v>
      </c>
      <c r="AC86" s="799" t="n">
        <v>0</v>
      </c>
      <c r="AD86" s="799" t="n">
        <v>0</v>
      </c>
      <c r="AE86" s="799" t="n">
        <v>0</v>
      </c>
      <c r="AF86" s="799" t="n">
        <v>0</v>
      </c>
      <c r="AG86" s="799" t="n">
        <v>0</v>
      </c>
      <c r="AH86" s="799" t="n"/>
      <c r="AI86" s="681" t="n"/>
      <c r="AJ86" s="681" t="n"/>
      <c r="AK86" s="681" t="n"/>
    </row>
    <row r="87" ht="14" customHeight="1" s="549">
      <c r="A87" s="686" t="n"/>
      <c r="B87" s="686" t="inlineStr">
        <is>
          <t>Factura</t>
        </is>
      </c>
      <c r="C87" s="788" t="inlineStr">
        <is>
          <t>7.6</t>
        </is>
      </c>
      <c r="D87" s="789" t="inlineStr">
        <is>
          <t>Grúa en Punto Destino (6 Horas)</t>
        </is>
      </c>
      <c r="E87" s="790">
        <f>+E15</f>
        <v/>
      </c>
      <c r="F87" s="789" t="n"/>
      <c r="G87" s="686" t="n"/>
      <c r="H87" s="800" t="n">
        <v>0</v>
      </c>
      <c r="I87" s="800" t="n">
        <v>0</v>
      </c>
      <c r="J87" s="800" t="n">
        <v>0</v>
      </c>
      <c r="K87" s="800" t="n">
        <v>0</v>
      </c>
      <c r="L87" s="800" t="n">
        <v>0</v>
      </c>
      <c r="M87" s="800" t="n">
        <v>0</v>
      </c>
      <c r="N87" s="800" t="n">
        <v>0</v>
      </c>
      <c r="O87" s="800" t="n">
        <v>0</v>
      </c>
      <c r="P87" s="800" t="n">
        <v>0</v>
      </c>
      <c r="Q87" s="800" t="n"/>
      <c r="R87" s="800" t="n">
        <v>1</v>
      </c>
      <c r="S87" s="800" t="n">
        <v>0</v>
      </c>
      <c r="T87" s="800" t="n"/>
      <c r="U87" s="800" t="n"/>
      <c r="V87" s="800" t="n">
        <v>0</v>
      </c>
      <c r="W87" s="800" t="n">
        <v>0</v>
      </c>
      <c r="X87" s="800" t="n">
        <v>0</v>
      </c>
      <c r="Y87" s="800" t="n">
        <v>0</v>
      </c>
      <c r="Z87" s="800" t="n">
        <v>0</v>
      </c>
      <c r="AA87" s="800" t="n">
        <v>0</v>
      </c>
      <c r="AB87" s="800" t="n">
        <v>0</v>
      </c>
      <c r="AC87" s="800" t="n">
        <v>0</v>
      </c>
      <c r="AD87" s="800" t="n">
        <v>0</v>
      </c>
      <c r="AE87" s="800" t="n">
        <v>0</v>
      </c>
      <c r="AF87" s="800" t="n">
        <v>0</v>
      </c>
      <c r="AG87" s="800" t="n">
        <v>0</v>
      </c>
      <c r="AH87" s="800" t="n"/>
      <c r="AI87" s="686" t="n"/>
      <c r="AJ87" s="686" t="n"/>
      <c r="AK87" s="686" t="n"/>
    </row>
    <row r="88" ht="14" customHeight="1" s="549">
      <c r="A88" s="681" t="n"/>
      <c r="B88" s="681" t="n"/>
      <c r="C88" s="712" t="n">
        <v>2</v>
      </c>
      <c r="D88" s="688" t="inlineStr">
        <is>
          <t>Insumos Instalación</t>
        </is>
      </c>
      <c r="E88" s="792">
        <f>+E16</f>
        <v/>
      </c>
      <c r="F88" s="688" t="n"/>
      <c r="G88" s="681" t="n"/>
      <c r="H88" s="799" t="n">
        <v>0</v>
      </c>
      <c r="I88" s="799" t="n">
        <v>0</v>
      </c>
      <c r="J88" s="799" t="n">
        <v>0</v>
      </c>
      <c r="K88" s="799" t="n">
        <v>0</v>
      </c>
      <c r="L88" s="799" t="n">
        <v>0</v>
      </c>
      <c r="M88" s="799" t="n">
        <v>0</v>
      </c>
      <c r="N88" s="799" t="n">
        <v>0</v>
      </c>
      <c r="O88" s="799" t="n">
        <v>0</v>
      </c>
      <c r="P88" s="799" t="n">
        <v>0</v>
      </c>
      <c r="Q88" s="799" t="n">
        <v>0</v>
      </c>
      <c r="R88" s="799" t="n">
        <v>0</v>
      </c>
      <c r="S88" s="799" t="n">
        <v>0</v>
      </c>
      <c r="T88" s="799" t="n"/>
      <c r="U88" s="799" t="n"/>
      <c r="V88" s="799" t="n">
        <v>0</v>
      </c>
      <c r="W88" s="799" t="n">
        <v>0</v>
      </c>
      <c r="X88" s="799" t="n">
        <v>0</v>
      </c>
      <c r="Y88" s="799" t="n">
        <v>0</v>
      </c>
      <c r="Z88" s="799" t="n">
        <v>0</v>
      </c>
      <c r="AA88" s="799" t="n">
        <v>0</v>
      </c>
      <c r="AB88" s="799" t="n">
        <v>0</v>
      </c>
      <c r="AC88" s="799" t="n">
        <v>0</v>
      </c>
      <c r="AD88" s="799" t="n">
        <v>0</v>
      </c>
      <c r="AE88" s="799" t="n">
        <v>0</v>
      </c>
      <c r="AF88" s="799" t="n">
        <v>0</v>
      </c>
      <c r="AG88" s="799" t="n">
        <v>0</v>
      </c>
      <c r="AH88" s="799" t="n"/>
      <c r="AI88" s="681" t="n"/>
      <c r="AJ88" s="681" t="n"/>
      <c r="AK88" s="681" t="n"/>
    </row>
    <row r="89" ht="14" customHeight="1" s="549">
      <c r="A89" s="686" t="n"/>
      <c r="B89" s="686" t="inlineStr">
        <is>
          <t>Factura</t>
        </is>
      </c>
      <c r="C89" s="788" t="inlineStr">
        <is>
          <t>2.1</t>
        </is>
      </c>
      <c r="D89" s="789" t="inlineStr">
        <is>
          <t>Estructura</t>
        </is>
      </c>
      <c r="E89" s="790">
        <f>+E17</f>
        <v/>
      </c>
      <c r="F89" s="789">
        <f>+Supuestos!H20</f>
        <v/>
      </c>
      <c r="G89" s="686" t="n"/>
      <c r="H89" s="800" t="n">
        <v>0</v>
      </c>
      <c r="I89" s="800" t="n">
        <v>0</v>
      </c>
      <c r="J89" s="800" t="n">
        <v>0</v>
      </c>
      <c r="K89" s="800" t="n">
        <v>0</v>
      </c>
      <c r="L89" s="800" t="n">
        <v>0</v>
      </c>
      <c r="M89" s="800" t="n">
        <v>0</v>
      </c>
      <c r="N89" s="800" t="n">
        <v>0</v>
      </c>
      <c r="O89" s="800" t="n">
        <v>0</v>
      </c>
      <c r="P89" s="800" t="n">
        <v>0</v>
      </c>
      <c r="Q89" s="800" t="n">
        <v>0</v>
      </c>
      <c r="R89" s="800">
        <f>F88</f>
        <v/>
      </c>
      <c r="S89" s="800" t="n">
        <v>0</v>
      </c>
      <c r="T89" s="800" t="n"/>
      <c r="U89" s="800" t="n"/>
      <c r="V89" s="800" t="n">
        <v>0</v>
      </c>
      <c r="W89" s="800" t="n">
        <v>0</v>
      </c>
      <c r="X89" s="800" t="n">
        <v>0</v>
      </c>
      <c r="Y89" s="800" t="n">
        <v>0</v>
      </c>
      <c r="Z89" s="800" t="n">
        <v>0</v>
      </c>
      <c r="AA89" s="800" t="n">
        <v>0</v>
      </c>
      <c r="AB89" s="800" t="n">
        <v>0</v>
      </c>
      <c r="AC89" s="800" t="n">
        <v>0</v>
      </c>
      <c r="AD89" s="800" t="n">
        <v>0</v>
      </c>
      <c r="AE89" s="800" t="n">
        <v>0</v>
      </c>
      <c r="AF89" s="800" t="n">
        <v>0</v>
      </c>
      <c r="AG89" s="800" t="n">
        <v>0</v>
      </c>
      <c r="AH89" s="800" t="n"/>
      <c r="AI89" s="686" t="n"/>
      <c r="AJ89" s="686" t="n"/>
      <c r="AK89" s="686" t="n"/>
    </row>
    <row r="90" ht="14" customHeight="1" s="549">
      <c r="A90" s="681" t="n"/>
      <c r="B90" s="681" t="inlineStr">
        <is>
          <t xml:space="preserve">Factura o Boleta </t>
        </is>
      </c>
      <c r="C90" s="783" t="inlineStr">
        <is>
          <t>2.2</t>
        </is>
      </c>
      <c r="D90" s="784" t="inlineStr">
        <is>
          <t>Materiales instalación</t>
        </is>
      </c>
      <c r="E90" s="785">
        <f>+E18</f>
        <v/>
      </c>
      <c r="F90" s="784">
        <f>+Supuestos!H21</f>
        <v/>
      </c>
      <c r="G90" s="681" t="n"/>
      <c r="H90" s="799" t="n">
        <v>0</v>
      </c>
      <c r="I90" s="799" t="n">
        <v>0</v>
      </c>
      <c r="J90" s="799" t="n">
        <v>0</v>
      </c>
      <c r="K90" s="799" t="n">
        <v>0</v>
      </c>
      <c r="L90" s="799" t="n">
        <v>0</v>
      </c>
      <c r="M90" s="799" t="n">
        <v>0</v>
      </c>
      <c r="N90" s="799" t="n">
        <v>0</v>
      </c>
      <c r="O90" s="799" t="n">
        <v>0</v>
      </c>
      <c r="P90" s="799" t="n">
        <v>0</v>
      </c>
      <c r="Q90" s="799" t="n">
        <v>0</v>
      </c>
      <c r="R90" s="799">
        <f>F89</f>
        <v/>
      </c>
      <c r="S90" s="799" t="n">
        <v>0</v>
      </c>
      <c r="T90" s="799" t="n"/>
      <c r="U90" s="799" t="n"/>
      <c r="V90" s="799" t="n">
        <v>0</v>
      </c>
      <c r="W90" s="799" t="n">
        <v>0</v>
      </c>
      <c r="X90" s="799" t="n">
        <v>0</v>
      </c>
      <c r="Y90" s="799" t="n">
        <v>0</v>
      </c>
      <c r="Z90" s="799" t="n">
        <v>0</v>
      </c>
      <c r="AA90" s="799" t="n">
        <v>0</v>
      </c>
      <c r="AB90" s="799" t="n">
        <v>0</v>
      </c>
      <c r="AC90" s="799" t="n">
        <v>0</v>
      </c>
      <c r="AD90" s="799" t="n">
        <v>0</v>
      </c>
      <c r="AE90" s="799" t="n">
        <v>0</v>
      </c>
      <c r="AF90" s="799" t="n">
        <v>0</v>
      </c>
      <c r="AG90" s="799" t="n">
        <v>0</v>
      </c>
      <c r="AH90" s="799" t="n"/>
      <c r="AI90" s="681" t="n"/>
      <c r="AJ90" s="681" t="n"/>
      <c r="AK90" s="681" t="n"/>
    </row>
    <row r="91" ht="14" customHeight="1" s="549">
      <c r="A91" s="686" t="n"/>
      <c r="B91" s="686" t="inlineStr">
        <is>
          <t xml:space="preserve">Factura o Boleta </t>
        </is>
      </c>
      <c r="C91" s="788" t="inlineStr">
        <is>
          <t>2.3</t>
        </is>
      </c>
      <c r="D91" s="789" t="inlineStr">
        <is>
          <t>Herramientas</t>
        </is>
      </c>
      <c r="E91" s="790">
        <f>+E19</f>
        <v/>
      </c>
      <c r="F91" s="789">
        <f>+Supuestos!H22</f>
        <v/>
      </c>
      <c r="G91" s="686" t="n"/>
      <c r="H91" s="800" t="n">
        <v>0</v>
      </c>
      <c r="I91" s="800" t="n">
        <v>0</v>
      </c>
      <c r="J91" s="800" t="n">
        <v>0</v>
      </c>
      <c r="K91" s="800" t="n">
        <v>0</v>
      </c>
      <c r="L91" s="800" t="n">
        <v>0</v>
      </c>
      <c r="M91" s="800" t="n">
        <v>0</v>
      </c>
      <c r="N91" s="800" t="n">
        <v>0</v>
      </c>
      <c r="O91" s="800" t="n">
        <v>0</v>
      </c>
      <c r="P91" s="800" t="n">
        <v>0</v>
      </c>
      <c r="Q91" s="800" t="n">
        <v>0</v>
      </c>
      <c r="R91" s="800">
        <f>F90</f>
        <v/>
      </c>
      <c r="S91" s="800" t="n">
        <v>0</v>
      </c>
      <c r="T91" s="800" t="n"/>
      <c r="U91" s="800" t="n"/>
      <c r="V91" s="800" t="n">
        <v>0</v>
      </c>
      <c r="W91" s="800" t="n">
        <v>0</v>
      </c>
      <c r="X91" s="800" t="n">
        <v>0</v>
      </c>
      <c r="Y91" s="800" t="n">
        <v>0</v>
      </c>
      <c r="Z91" s="800" t="n">
        <v>0</v>
      </c>
      <c r="AA91" s="800" t="n">
        <v>0</v>
      </c>
      <c r="AB91" s="800" t="n">
        <v>0</v>
      </c>
      <c r="AC91" s="800" t="n">
        <v>0</v>
      </c>
      <c r="AD91" s="800" t="n">
        <v>0</v>
      </c>
      <c r="AE91" s="800" t="n">
        <v>0</v>
      </c>
      <c r="AF91" s="800" t="n">
        <v>0</v>
      </c>
      <c r="AG91" s="800" t="n">
        <v>0</v>
      </c>
      <c r="AH91" s="800" t="n"/>
      <c r="AI91" s="686" t="n"/>
      <c r="AJ91" s="686" t="n"/>
      <c r="AK91" s="686" t="n"/>
    </row>
    <row r="92" ht="14" customHeight="1" s="549">
      <c r="A92" s="681" t="n"/>
      <c r="B92" s="681" t="n"/>
      <c r="C92" s="712" t="inlineStr">
        <is>
          <t>3.</t>
        </is>
      </c>
      <c r="D92" s="688" t="inlineStr">
        <is>
          <t>Personal y Servicios</t>
        </is>
      </c>
      <c r="E92" s="792">
        <f>+E20</f>
        <v/>
      </c>
      <c r="F92" s="688" t="n"/>
      <c r="G92" s="681" t="n"/>
      <c r="H92" s="799" t="n">
        <v>0</v>
      </c>
      <c r="I92" s="799" t="n">
        <v>0</v>
      </c>
      <c r="J92" s="799" t="n">
        <v>0</v>
      </c>
      <c r="K92" s="799" t="n">
        <v>0</v>
      </c>
      <c r="L92" s="799" t="n">
        <v>0</v>
      </c>
      <c r="M92" s="799" t="n">
        <v>0</v>
      </c>
      <c r="N92" s="799" t="n">
        <v>0</v>
      </c>
      <c r="O92" s="799" t="n">
        <v>0</v>
      </c>
      <c r="P92" s="799" t="n">
        <v>0</v>
      </c>
      <c r="Q92" s="799" t="n">
        <v>0</v>
      </c>
      <c r="R92" s="799" t="n">
        <v>0</v>
      </c>
      <c r="S92" s="799" t="n">
        <v>0</v>
      </c>
      <c r="T92" s="799" t="n"/>
      <c r="U92" s="799" t="n"/>
      <c r="V92" s="799" t="n">
        <v>0</v>
      </c>
      <c r="W92" s="799" t="n">
        <v>0</v>
      </c>
      <c r="X92" s="799" t="n">
        <v>0</v>
      </c>
      <c r="Y92" s="799" t="n">
        <v>0</v>
      </c>
      <c r="Z92" s="799" t="n">
        <v>0</v>
      </c>
      <c r="AA92" s="799" t="n">
        <v>0</v>
      </c>
      <c r="AB92" s="799" t="n">
        <v>0</v>
      </c>
      <c r="AC92" s="799" t="n">
        <v>0</v>
      </c>
      <c r="AD92" s="799" t="n">
        <v>0</v>
      </c>
      <c r="AE92" s="799" t="n">
        <v>0</v>
      </c>
      <c r="AF92" s="799" t="n">
        <v>0</v>
      </c>
      <c r="AG92" s="799" t="n">
        <v>0</v>
      </c>
      <c r="AH92" s="799" t="n"/>
      <c r="AI92" s="681" t="n"/>
      <c r="AJ92" s="681" t="n"/>
      <c r="AK92" s="681" t="n"/>
    </row>
    <row r="93" ht="14" customHeight="1" s="549">
      <c r="A93" s="686" t="n"/>
      <c r="B93" s="686" t="inlineStr">
        <is>
          <t>Costo Empresa</t>
        </is>
      </c>
      <c r="C93" s="788" t="inlineStr">
        <is>
          <t>3.1</t>
        </is>
      </c>
      <c r="D93" s="789" t="inlineStr">
        <is>
          <t>Planilla Actual</t>
        </is>
      </c>
      <c r="E93" s="790">
        <f>+E21</f>
        <v/>
      </c>
      <c r="F93" s="789" t="n"/>
      <c r="G93" s="686" t="n"/>
      <c r="H93" s="800" t="n">
        <v>0</v>
      </c>
      <c r="I93" s="800" t="n">
        <v>0</v>
      </c>
      <c r="J93" s="800" t="n">
        <v>0</v>
      </c>
      <c r="K93" s="800" t="n">
        <v>0</v>
      </c>
      <c r="L93" s="800" t="n">
        <v>0</v>
      </c>
      <c r="M93" s="800" t="n">
        <v>0</v>
      </c>
      <c r="N93" s="800" t="n">
        <v>0</v>
      </c>
      <c r="O93" s="800" t="n">
        <v>1</v>
      </c>
      <c r="P93" s="800" t="n">
        <v>1</v>
      </c>
      <c r="Q93" s="800" t="n">
        <v>1</v>
      </c>
      <c r="R93" s="800" t="n">
        <v>1</v>
      </c>
      <c r="S93" s="800" t="n">
        <v>1</v>
      </c>
      <c r="T93" s="800" t="n"/>
      <c r="U93" s="800" t="n"/>
      <c r="V93" s="800" t="n">
        <v>1</v>
      </c>
      <c r="W93" s="800" t="n"/>
      <c r="X93" s="800" t="n"/>
      <c r="Y93" s="800" t="n"/>
      <c r="Z93" s="800" t="n"/>
      <c r="AA93" s="800" t="n">
        <v>0</v>
      </c>
      <c r="AB93" s="800" t="n">
        <v>0</v>
      </c>
      <c r="AC93" s="800" t="n">
        <v>0</v>
      </c>
      <c r="AD93" s="800" t="n">
        <v>0</v>
      </c>
      <c r="AE93" s="800" t="n">
        <v>0</v>
      </c>
      <c r="AF93" s="800" t="n">
        <v>0</v>
      </c>
      <c r="AG93" s="800" t="n">
        <v>0</v>
      </c>
      <c r="AH93" s="800" t="n"/>
      <c r="AI93" s="686" t="n"/>
      <c r="AJ93" s="686" t="n"/>
      <c r="AK93" s="686" t="n"/>
    </row>
    <row r="94" ht="14" customHeight="1" s="549">
      <c r="A94" s="681" t="n"/>
      <c r="B94" s="681" t="inlineStr">
        <is>
          <t>Costo Empresa</t>
        </is>
      </c>
      <c r="C94" s="783" t="inlineStr">
        <is>
          <t>3.2</t>
        </is>
      </c>
      <c r="D94" s="784" t="inlineStr">
        <is>
          <t>Descarga Estructura</t>
        </is>
      </c>
      <c r="E94" s="785">
        <f>Supuestos!E25</f>
        <v/>
      </c>
      <c r="F94" s="784" t="n"/>
      <c r="G94" s="681" t="n"/>
      <c r="H94" s="799" t="n">
        <v>0</v>
      </c>
      <c r="I94" s="799" t="n">
        <v>0</v>
      </c>
      <c r="J94" s="799" t="n">
        <v>0</v>
      </c>
      <c r="K94" s="799" t="n">
        <v>0</v>
      </c>
      <c r="L94" s="799" t="n">
        <v>0</v>
      </c>
      <c r="M94" s="799" t="n">
        <v>0</v>
      </c>
      <c r="N94" s="799" t="n">
        <v>0</v>
      </c>
      <c r="O94" s="799" t="n">
        <v>1</v>
      </c>
      <c r="P94" s="799" t="n">
        <v>1</v>
      </c>
      <c r="Q94" s="799" t="n">
        <v>1</v>
      </c>
      <c r="R94" s="799" t="n">
        <v>1</v>
      </c>
      <c r="S94" s="799" t="n">
        <v>1</v>
      </c>
      <c r="T94" s="799" t="n"/>
      <c r="U94" s="799" t="n"/>
      <c r="V94" s="799" t="n">
        <v>1</v>
      </c>
      <c r="W94" s="799" t="n"/>
      <c r="X94" s="799" t="n"/>
      <c r="Y94" s="799" t="n"/>
      <c r="Z94" s="799" t="n"/>
      <c r="AA94" s="799" t="n">
        <v>0</v>
      </c>
      <c r="AB94" s="799" t="n">
        <v>0</v>
      </c>
      <c r="AC94" s="799" t="n">
        <v>0</v>
      </c>
      <c r="AD94" s="799" t="n">
        <v>0</v>
      </c>
      <c r="AE94" s="799" t="n">
        <v>0</v>
      </c>
      <c r="AF94" s="799" t="n">
        <v>0</v>
      </c>
      <c r="AG94" s="799" t="n">
        <v>0</v>
      </c>
      <c r="AH94" s="799" t="n"/>
      <c r="AI94" s="681" t="n"/>
      <c r="AJ94" s="681" t="n"/>
      <c r="AK94" s="681" t="n"/>
    </row>
    <row r="95" ht="14" customHeight="1" s="549">
      <c r="A95" s="686" t="n"/>
      <c r="B95" s="686" t="n"/>
      <c r="C95" s="771" t="inlineStr">
        <is>
          <t>4.</t>
        </is>
      </c>
      <c r="D95" s="682" t="inlineStr">
        <is>
          <t>Servicios Profesionales</t>
        </is>
      </c>
      <c r="E95" s="780">
        <f>+E23</f>
        <v/>
      </c>
      <c r="F95" s="682" t="n"/>
      <c r="G95" s="686" t="n"/>
      <c r="H95" s="800" t="n">
        <v>0</v>
      </c>
      <c r="I95" s="800" t="n">
        <v>0</v>
      </c>
      <c r="J95" s="800" t="n">
        <v>0</v>
      </c>
      <c r="K95" s="800" t="n">
        <v>0</v>
      </c>
      <c r="L95" s="800" t="n">
        <v>0</v>
      </c>
      <c r="M95" s="800" t="n">
        <v>0</v>
      </c>
      <c r="N95" s="800" t="n">
        <v>0</v>
      </c>
      <c r="O95" s="800" t="n">
        <v>0</v>
      </c>
      <c r="P95" s="800" t="n">
        <v>0</v>
      </c>
      <c r="Q95" s="800" t="n">
        <v>0</v>
      </c>
      <c r="R95" s="800" t="n">
        <v>0</v>
      </c>
      <c r="S95" s="800" t="n">
        <v>0</v>
      </c>
      <c r="T95" s="800" t="n"/>
      <c r="U95" s="800" t="n"/>
      <c r="V95" s="800" t="n">
        <v>0</v>
      </c>
      <c r="W95" s="800" t="n"/>
      <c r="X95" s="800" t="n">
        <v>0</v>
      </c>
      <c r="Y95" s="800" t="n">
        <v>0</v>
      </c>
      <c r="Z95" s="800" t="n">
        <v>0</v>
      </c>
      <c r="AA95" s="800" t="n">
        <v>0</v>
      </c>
      <c r="AB95" s="800" t="n">
        <v>0</v>
      </c>
      <c r="AC95" s="800" t="n">
        <v>0</v>
      </c>
      <c r="AD95" s="800" t="n">
        <v>0</v>
      </c>
      <c r="AE95" s="800" t="n">
        <v>0</v>
      </c>
      <c r="AF95" s="800" t="n">
        <v>0</v>
      </c>
      <c r="AG95" s="800" t="n">
        <v>0</v>
      </c>
      <c r="AH95" s="800" t="n"/>
      <c r="AI95" s="686" t="n"/>
      <c r="AJ95" s="686" t="n"/>
      <c r="AK95" s="686" t="n"/>
    </row>
    <row r="96" ht="14" customHeight="1" s="549">
      <c r="A96" s="681" t="n"/>
      <c r="B96" s="681" t="inlineStr">
        <is>
          <t>Boleta Honorarios</t>
        </is>
      </c>
      <c r="C96" s="783" t="inlineStr">
        <is>
          <t>4.1</t>
        </is>
      </c>
      <c r="D96" s="784" t="inlineStr">
        <is>
          <t>Encargado de Logistica y Bodega</t>
        </is>
      </c>
      <c r="E96" s="785">
        <f>+E24</f>
        <v/>
      </c>
      <c r="F96" s="784" t="n"/>
      <c r="G96" s="681" t="n"/>
      <c r="H96" s="799" t="n">
        <v>0</v>
      </c>
      <c r="I96" s="799" t="n">
        <v>0</v>
      </c>
      <c r="J96" s="799" t="n">
        <v>0</v>
      </c>
      <c r="K96" s="799" t="n">
        <v>0</v>
      </c>
      <c r="L96" s="799" t="n">
        <v>0</v>
      </c>
      <c r="M96" s="799" t="n">
        <v>0</v>
      </c>
      <c r="N96" s="799" t="n">
        <v>0</v>
      </c>
      <c r="O96" s="799" t="n">
        <v>0</v>
      </c>
      <c r="P96" s="799" t="n">
        <v>0</v>
      </c>
      <c r="Q96" s="799" t="n">
        <v>1</v>
      </c>
      <c r="R96" s="799" t="n">
        <v>1</v>
      </c>
      <c r="S96" s="799" t="n">
        <v>1</v>
      </c>
      <c r="T96" s="799" t="n"/>
      <c r="U96" s="799" t="n"/>
      <c r="V96" s="799" t="n"/>
      <c r="W96" s="799" t="n"/>
      <c r="X96" s="799" t="n"/>
      <c r="Y96" s="799" t="n"/>
      <c r="Z96" s="799" t="n"/>
      <c r="AA96" s="799" t="n">
        <v>0</v>
      </c>
      <c r="AB96" s="799" t="n">
        <v>0</v>
      </c>
      <c r="AC96" s="799" t="n">
        <v>0</v>
      </c>
      <c r="AD96" s="799" t="n">
        <v>0</v>
      </c>
      <c r="AE96" s="799" t="n">
        <v>0</v>
      </c>
      <c r="AF96" s="799" t="n">
        <v>0</v>
      </c>
      <c r="AG96" s="799" t="n">
        <v>0</v>
      </c>
      <c r="AH96" s="799" t="n"/>
      <c r="AI96" s="681" t="n"/>
      <c r="AJ96" s="681" t="n"/>
      <c r="AK96" s="681" t="n"/>
    </row>
    <row r="97" ht="14" customHeight="1" s="549">
      <c r="A97" s="686" t="n"/>
      <c r="B97" s="686" t="inlineStr">
        <is>
          <t>Boleta Honorarios</t>
        </is>
      </c>
      <c r="C97" s="788" t="inlineStr">
        <is>
          <t>4.2</t>
        </is>
      </c>
      <c r="D97" s="789" t="inlineStr">
        <is>
          <t>Técnico pago por instalación - Plan A</t>
        </is>
      </c>
      <c r="E97" s="790">
        <f>+E25</f>
        <v/>
      </c>
      <c r="F97" s="789" t="n"/>
      <c r="G97" s="686" t="n"/>
      <c r="H97" s="800" t="n">
        <v>0</v>
      </c>
      <c r="I97" s="800" t="n">
        <v>0</v>
      </c>
      <c r="J97" s="800" t="n">
        <v>0</v>
      </c>
      <c r="K97" s="800" t="n">
        <v>0</v>
      </c>
      <c r="L97" s="800" t="n">
        <v>0</v>
      </c>
      <c r="M97" s="800" t="n">
        <v>0</v>
      </c>
      <c r="N97" s="800" t="n">
        <v>0</v>
      </c>
      <c r="O97" s="800" t="n">
        <v>0</v>
      </c>
      <c r="P97" s="800" t="n">
        <v>0</v>
      </c>
      <c r="Q97" s="800" t="n">
        <v>0</v>
      </c>
      <c r="R97" s="800" t="n">
        <v>0</v>
      </c>
      <c r="S97" s="800" t="n">
        <v>0</v>
      </c>
      <c r="T97" s="800" t="n"/>
      <c r="U97" s="800" t="n"/>
      <c r="V97" s="800" t="n">
        <v>0</v>
      </c>
      <c r="W97" s="800" t="n">
        <v>0</v>
      </c>
      <c r="X97" s="800" t="n"/>
      <c r="Y97" s="800" t="n"/>
      <c r="Z97" s="800" t="n">
        <v>0</v>
      </c>
      <c r="AA97" s="800" t="n">
        <v>0</v>
      </c>
      <c r="AB97" s="800" t="n">
        <v>0</v>
      </c>
      <c r="AC97" s="800" t="n">
        <v>0</v>
      </c>
      <c r="AD97" s="800" t="n">
        <v>0</v>
      </c>
      <c r="AE97" s="800" t="n">
        <v>0</v>
      </c>
      <c r="AF97" s="800" t="n">
        <v>0</v>
      </c>
      <c r="AG97" s="800" t="n">
        <v>0</v>
      </c>
      <c r="AH97" s="800" t="n"/>
      <c r="AI97" s="686" t="n"/>
      <c r="AJ97" s="686" t="n"/>
      <c r="AK97" s="686" t="n"/>
    </row>
    <row r="98" ht="14" customHeight="1" s="549">
      <c r="A98" s="681" t="n"/>
      <c r="B98" s="681" t="inlineStr">
        <is>
          <t>Boleta Honorarios</t>
        </is>
      </c>
      <c r="C98" s="783" t="inlineStr">
        <is>
          <t>4.3</t>
        </is>
      </c>
      <c r="D98" s="784" t="inlineStr">
        <is>
          <t>Técnico contrato mensual - Plan B</t>
        </is>
      </c>
      <c r="E98" s="785">
        <f>+E26</f>
        <v/>
      </c>
      <c r="F98" s="784" t="n"/>
      <c r="G98" s="681" t="n"/>
      <c r="H98" s="799" t="n">
        <v>0</v>
      </c>
      <c r="I98" s="799" t="n">
        <v>0</v>
      </c>
      <c r="J98" s="799" t="n">
        <v>0</v>
      </c>
      <c r="K98" s="799" t="n">
        <v>0</v>
      </c>
      <c r="L98" s="799" t="n">
        <v>0</v>
      </c>
      <c r="M98" s="799" t="n">
        <v>0</v>
      </c>
      <c r="N98" s="799" t="n">
        <v>0</v>
      </c>
      <c r="O98" s="799" t="n">
        <v>0</v>
      </c>
      <c r="P98" s="799" t="n">
        <v>0</v>
      </c>
      <c r="Q98" s="799" t="n">
        <v>1</v>
      </c>
      <c r="R98" s="799" t="n">
        <v>2</v>
      </c>
      <c r="S98" s="799" t="n">
        <v>2</v>
      </c>
      <c r="T98" s="799" t="n"/>
      <c r="U98" s="799" t="n"/>
      <c r="V98" s="799" t="n"/>
      <c r="W98" s="799" t="n"/>
      <c r="X98" s="799" t="n">
        <v>0</v>
      </c>
      <c r="Y98" s="799" t="n">
        <v>0</v>
      </c>
      <c r="Z98" s="799" t="n">
        <v>0</v>
      </c>
      <c r="AA98" s="799" t="n">
        <v>0</v>
      </c>
      <c r="AB98" s="799" t="n">
        <v>0</v>
      </c>
      <c r="AC98" s="799" t="n">
        <v>0</v>
      </c>
      <c r="AD98" s="799" t="n">
        <v>0</v>
      </c>
      <c r="AE98" s="799" t="n">
        <v>0</v>
      </c>
      <c r="AF98" s="799" t="n">
        <v>0</v>
      </c>
      <c r="AG98" s="799" t="n">
        <v>0</v>
      </c>
      <c r="AH98" s="799" t="n"/>
      <c r="AI98" s="681" t="n"/>
      <c r="AJ98" s="681" t="n"/>
      <c r="AK98" s="681" t="n"/>
    </row>
    <row r="99" ht="14" customHeight="1" s="549">
      <c r="A99" s="686" t="n"/>
      <c r="B99" s="686" t="inlineStr">
        <is>
          <t>Boleta Honorarios</t>
        </is>
      </c>
      <c r="C99" s="788" t="inlineStr">
        <is>
          <t>4.4</t>
        </is>
      </c>
      <c r="D99" s="789" t="inlineStr">
        <is>
          <t>Ayudante contrato mensual - Plan B</t>
        </is>
      </c>
      <c r="E99" s="790">
        <f>+E27</f>
        <v/>
      </c>
      <c r="F99" s="789" t="n"/>
      <c r="G99" s="686" t="n"/>
      <c r="H99" s="800" t="n">
        <v>0</v>
      </c>
      <c r="I99" s="800" t="n">
        <v>0</v>
      </c>
      <c r="J99" s="800" t="n">
        <v>0</v>
      </c>
      <c r="K99" s="800" t="n">
        <v>0</v>
      </c>
      <c r="L99" s="800" t="n">
        <v>0</v>
      </c>
      <c r="M99" s="800" t="n">
        <v>0</v>
      </c>
      <c r="N99" s="800" t="n">
        <v>0</v>
      </c>
      <c r="O99" s="800" t="n">
        <v>0</v>
      </c>
      <c r="P99" s="800" t="n">
        <v>0</v>
      </c>
      <c r="Q99" s="800" t="n">
        <v>1</v>
      </c>
      <c r="R99" s="800" t="n">
        <v>2</v>
      </c>
      <c r="S99" s="800" t="n">
        <v>2</v>
      </c>
      <c r="T99" s="800" t="n"/>
      <c r="U99" s="800" t="n"/>
      <c r="V99" s="800" t="n"/>
      <c r="W99" s="800" t="n"/>
      <c r="X99" s="800" t="n">
        <v>0</v>
      </c>
      <c r="Y99" s="800" t="n">
        <v>0</v>
      </c>
      <c r="Z99" s="800" t="n">
        <v>0</v>
      </c>
      <c r="AA99" s="800" t="n">
        <v>0</v>
      </c>
      <c r="AB99" s="800" t="n">
        <v>0</v>
      </c>
      <c r="AC99" s="800" t="n">
        <v>0</v>
      </c>
      <c r="AD99" s="800" t="n">
        <v>0</v>
      </c>
      <c r="AE99" s="800" t="n">
        <v>0</v>
      </c>
      <c r="AF99" s="800" t="n">
        <v>0</v>
      </c>
      <c r="AG99" s="800" t="n">
        <v>0</v>
      </c>
      <c r="AH99" s="800" t="n"/>
      <c r="AI99" s="686" t="n"/>
      <c r="AJ99" s="686" t="n"/>
      <c r="AK99" s="686" t="n"/>
    </row>
    <row r="100" ht="14" customHeight="1" s="549">
      <c r="A100" s="681" t="n"/>
      <c r="B100" s="681" t="inlineStr">
        <is>
          <t>Boleta Honorarios</t>
        </is>
      </c>
      <c r="C100" s="783" t="inlineStr">
        <is>
          <t>4.5</t>
        </is>
      </c>
      <c r="D100" s="784" t="inlineStr">
        <is>
          <t>Personal apoyo Planos TE1</t>
        </is>
      </c>
      <c r="E100" s="785">
        <f>+E28</f>
        <v/>
      </c>
      <c r="F100" s="784" t="n"/>
      <c r="G100" s="681" t="n"/>
      <c r="H100" s="799" t="n">
        <v>0</v>
      </c>
      <c r="I100" s="799" t="n">
        <v>0</v>
      </c>
      <c r="J100" s="799" t="n">
        <v>0</v>
      </c>
      <c r="K100" s="799" t="n">
        <v>0</v>
      </c>
      <c r="L100" s="799" t="n">
        <v>0</v>
      </c>
      <c r="M100" s="799" t="n">
        <v>0</v>
      </c>
      <c r="N100" s="799" t="n">
        <v>0</v>
      </c>
      <c r="O100" s="799" t="n">
        <v>0</v>
      </c>
      <c r="P100" s="799" t="n">
        <v>0</v>
      </c>
      <c r="Q100" s="799" t="n"/>
      <c r="R100" s="799" t="n"/>
      <c r="S100" s="799">
        <f>+F77</f>
        <v/>
      </c>
      <c r="T100" s="799" t="n"/>
      <c r="U100" s="799" t="n"/>
      <c r="V100" s="799" t="n"/>
      <c r="W100" s="799" t="n"/>
      <c r="X100" s="799" t="n">
        <v>0</v>
      </c>
      <c r="Y100" s="799" t="n">
        <v>0</v>
      </c>
      <c r="Z100" s="799" t="n">
        <v>0</v>
      </c>
      <c r="AA100" s="799" t="n">
        <v>0</v>
      </c>
      <c r="AB100" s="799" t="n">
        <v>0</v>
      </c>
      <c r="AC100" s="799" t="n">
        <v>0</v>
      </c>
      <c r="AD100" s="799" t="n">
        <v>0</v>
      </c>
      <c r="AE100" s="799" t="n">
        <v>0</v>
      </c>
      <c r="AF100" s="799" t="n">
        <v>0</v>
      </c>
      <c r="AG100" s="799" t="n">
        <v>0</v>
      </c>
      <c r="AH100" s="799" t="n"/>
      <c r="AI100" s="681" t="n"/>
      <c r="AJ100" s="681" t="n"/>
      <c r="AK100" s="681" t="n"/>
    </row>
    <row r="101" ht="14" customHeight="1" s="549">
      <c r="A101" s="686" t="n"/>
      <c r="B101" s="686" t="inlineStr">
        <is>
          <t>Boleta Honorarios</t>
        </is>
      </c>
      <c r="C101" s="788" t="inlineStr">
        <is>
          <t>4.6</t>
        </is>
      </c>
      <c r="D101" s="789" t="inlineStr">
        <is>
          <t>Encargado territorial RRHH</t>
        </is>
      </c>
      <c r="E101" s="790">
        <f>Supuestos!E32</f>
        <v/>
      </c>
      <c r="F101" s="789" t="n"/>
      <c r="G101" s="686" t="n"/>
      <c r="H101" s="800" t="n">
        <v>0</v>
      </c>
      <c r="I101" s="800" t="n">
        <v>0</v>
      </c>
      <c r="J101" s="800" t="n">
        <v>0</v>
      </c>
      <c r="K101" s="800" t="n">
        <v>0</v>
      </c>
      <c r="L101" s="800" t="n">
        <v>0</v>
      </c>
      <c r="M101" s="800" t="n">
        <v>0</v>
      </c>
      <c r="N101" s="800" t="n">
        <v>0</v>
      </c>
      <c r="O101" s="800" t="n">
        <v>1</v>
      </c>
      <c r="P101" s="800" t="n">
        <v>1</v>
      </c>
      <c r="Q101" s="800" t="n">
        <v>1</v>
      </c>
      <c r="R101" s="800" t="n">
        <v>1</v>
      </c>
      <c r="S101" s="800" t="n">
        <v>1</v>
      </c>
      <c r="T101" s="800" t="n"/>
      <c r="U101" s="800" t="n"/>
      <c r="V101" s="800" t="n">
        <v>1</v>
      </c>
      <c r="W101" s="800" t="n"/>
      <c r="X101" s="800" t="n">
        <v>0</v>
      </c>
      <c r="Y101" s="800" t="n">
        <v>0</v>
      </c>
      <c r="Z101" s="800" t="n">
        <v>0</v>
      </c>
      <c r="AA101" s="800" t="n">
        <v>0</v>
      </c>
      <c r="AB101" s="800" t="n">
        <v>0</v>
      </c>
      <c r="AC101" s="800" t="n">
        <v>0</v>
      </c>
      <c r="AD101" s="800" t="n">
        <v>0</v>
      </c>
      <c r="AE101" s="800" t="n">
        <v>0</v>
      </c>
      <c r="AF101" s="800" t="n">
        <v>0</v>
      </c>
      <c r="AG101" s="800" t="n">
        <v>0</v>
      </c>
      <c r="AH101" s="800" t="n"/>
      <c r="AI101" s="686" t="n"/>
      <c r="AJ101" s="686" t="n"/>
      <c r="AK101" s="686" t="n"/>
    </row>
    <row r="102" ht="14" customHeight="1" s="549">
      <c r="A102" s="681" t="n"/>
      <c r="B102" s="681" t="inlineStr">
        <is>
          <t>Boleta Honorarios</t>
        </is>
      </c>
      <c r="C102" s="783" t="inlineStr">
        <is>
          <t>4.7</t>
        </is>
      </c>
      <c r="D102" s="784" t="inlineStr">
        <is>
          <t>Apoyo Financiero de proyecto</t>
        </is>
      </c>
      <c r="E102" s="785">
        <f>Supuestos!E33</f>
        <v/>
      </c>
      <c r="F102" s="784" t="n"/>
      <c r="G102" s="681" t="n"/>
      <c r="H102" s="799" t="n">
        <v>0</v>
      </c>
      <c r="I102" s="799" t="n">
        <v>0</v>
      </c>
      <c r="J102" s="799" t="n">
        <v>0</v>
      </c>
      <c r="K102" s="799" t="n">
        <v>0</v>
      </c>
      <c r="L102" s="799" t="n">
        <v>0</v>
      </c>
      <c r="M102" s="799" t="n">
        <v>0</v>
      </c>
      <c r="N102" s="799" t="n">
        <v>0</v>
      </c>
      <c r="O102" s="799" t="n">
        <v>0</v>
      </c>
      <c r="P102" s="799" t="n">
        <v>1</v>
      </c>
      <c r="Q102" s="799" t="n">
        <v>1</v>
      </c>
      <c r="R102" s="799" t="n">
        <v>1</v>
      </c>
      <c r="S102" s="799" t="n">
        <v>1</v>
      </c>
      <c r="T102" s="799" t="n"/>
      <c r="U102" s="799" t="n"/>
      <c r="V102" s="799" t="n">
        <v>1</v>
      </c>
      <c r="W102" s="799" t="n"/>
      <c r="X102" s="799" t="n">
        <v>0</v>
      </c>
      <c r="Y102" s="799" t="n">
        <v>0</v>
      </c>
      <c r="Z102" s="799" t="n">
        <v>0</v>
      </c>
      <c r="AA102" s="799" t="n">
        <v>0</v>
      </c>
      <c r="AB102" s="799" t="n">
        <v>0</v>
      </c>
      <c r="AC102" s="799" t="n">
        <v>0</v>
      </c>
      <c r="AD102" s="799" t="n">
        <v>0</v>
      </c>
      <c r="AE102" s="799" t="n">
        <v>0</v>
      </c>
      <c r="AF102" s="799" t="n">
        <v>0</v>
      </c>
      <c r="AG102" s="799" t="n">
        <v>0</v>
      </c>
      <c r="AH102" s="799" t="n"/>
      <c r="AI102" s="681" t="n"/>
      <c r="AJ102" s="681" t="n"/>
      <c r="AK102" s="681" t="n"/>
    </row>
    <row r="103" ht="14" customHeight="1" s="549">
      <c r="A103" s="686" t="n"/>
      <c r="B103" s="686" t="inlineStr">
        <is>
          <t>Boleta Honorarios</t>
        </is>
      </c>
      <c r="C103" s="788" t="inlineStr">
        <is>
          <t>4.8</t>
        </is>
      </c>
      <c r="D103" s="789" t="n"/>
      <c r="E103" s="790">
        <f>Supuestos!E34</f>
        <v/>
      </c>
      <c r="F103" s="789" t="n"/>
      <c r="G103" s="686" t="n"/>
      <c r="H103" s="800" t="n">
        <v>0</v>
      </c>
      <c r="I103" s="800" t="n">
        <v>0</v>
      </c>
      <c r="J103" s="800" t="n">
        <v>0</v>
      </c>
      <c r="K103" s="800" t="n">
        <v>0</v>
      </c>
      <c r="L103" s="800" t="n">
        <v>0</v>
      </c>
      <c r="M103" s="800" t="n">
        <v>0</v>
      </c>
      <c r="N103" s="800" t="n">
        <v>0</v>
      </c>
      <c r="O103" s="800" t="n">
        <v>0</v>
      </c>
      <c r="P103" s="800" t="n">
        <v>0</v>
      </c>
      <c r="Q103" s="800" t="n">
        <v>0</v>
      </c>
      <c r="R103" s="800" t="n">
        <v>0</v>
      </c>
      <c r="S103" s="800" t="n">
        <v>0</v>
      </c>
      <c r="T103" s="800" t="n"/>
      <c r="U103" s="800" t="n"/>
      <c r="V103" s="800" t="n">
        <v>0</v>
      </c>
      <c r="W103" s="800" t="n"/>
      <c r="X103" s="800" t="n">
        <v>0</v>
      </c>
      <c r="Y103" s="800" t="n">
        <v>0</v>
      </c>
      <c r="Z103" s="800" t="n">
        <v>0</v>
      </c>
      <c r="AA103" s="800" t="n">
        <v>0</v>
      </c>
      <c r="AB103" s="800" t="n">
        <v>0</v>
      </c>
      <c r="AC103" s="800" t="n">
        <v>0</v>
      </c>
      <c r="AD103" s="800" t="n">
        <v>0</v>
      </c>
      <c r="AE103" s="800" t="n">
        <v>0</v>
      </c>
      <c r="AF103" s="800" t="n">
        <v>0</v>
      </c>
      <c r="AG103" s="800" t="n">
        <v>0</v>
      </c>
      <c r="AH103" s="800" t="n"/>
      <c r="AI103" s="686" t="n"/>
      <c r="AJ103" s="686" t="n"/>
      <c r="AK103" s="686" t="n"/>
    </row>
    <row r="104" ht="11.25" customHeight="1" s="549"/>
    <row r="105" ht="14" customHeight="1" s="549">
      <c r="A105" s="681" t="n"/>
      <c r="B105" s="681" t="n"/>
      <c r="C105" s="712" t="inlineStr">
        <is>
          <t>5.</t>
        </is>
      </c>
      <c r="D105" s="688" t="inlineStr">
        <is>
          <t>Alquileres RRCC</t>
        </is>
      </c>
      <c r="E105" s="792">
        <f>+E33</f>
        <v/>
      </c>
      <c r="F105" s="688" t="n"/>
      <c r="G105" s="681" t="n"/>
      <c r="H105" s="799" t="n">
        <v>0</v>
      </c>
      <c r="I105" s="799" t="n">
        <v>0</v>
      </c>
      <c r="J105" s="799" t="n">
        <v>0</v>
      </c>
      <c r="K105" s="799" t="n">
        <v>0</v>
      </c>
      <c r="L105" s="799" t="n">
        <v>0</v>
      </c>
      <c r="M105" s="799" t="n">
        <v>0</v>
      </c>
      <c r="N105" s="799" t="n">
        <v>0</v>
      </c>
      <c r="O105" s="799" t="n">
        <v>0</v>
      </c>
      <c r="P105" s="799" t="n">
        <v>0</v>
      </c>
      <c r="Q105" s="799" t="n">
        <v>0</v>
      </c>
      <c r="R105" s="799" t="n">
        <v>0</v>
      </c>
      <c r="S105" s="799" t="n">
        <v>0</v>
      </c>
      <c r="T105" s="799" t="n"/>
      <c r="U105" s="799" t="n"/>
      <c r="V105" s="799" t="n">
        <v>0</v>
      </c>
      <c r="W105" s="799" t="n">
        <v>0</v>
      </c>
      <c r="X105" s="799" t="n">
        <v>0</v>
      </c>
      <c r="Y105" s="799" t="n">
        <v>0</v>
      </c>
      <c r="Z105" s="799" t="n">
        <v>0</v>
      </c>
      <c r="AA105" s="799" t="n">
        <v>0</v>
      </c>
      <c r="AB105" s="799" t="n">
        <v>0</v>
      </c>
      <c r="AC105" s="799" t="n">
        <v>0</v>
      </c>
      <c r="AD105" s="799" t="n">
        <v>0</v>
      </c>
      <c r="AE105" s="799" t="n">
        <v>0</v>
      </c>
      <c r="AF105" s="799" t="n">
        <v>0</v>
      </c>
      <c r="AG105" s="799" t="n">
        <v>0</v>
      </c>
      <c r="AH105" s="799" t="n"/>
      <c r="AI105" s="681" t="n"/>
      <c r="AJ105" s="681" t="n"/>
      <c r="AK105" s="681" t="n"/>
    </row>
    <row r="106" ht="14" customHeight="1" s="549">
      <c r="A106" s="686" t="n"/>
      <c r="B106" s="686" t="inlineStr">
        <is>
          <t>Factura</t>
        </is>
      </c>
      <c r="C106" s="788" t="inlineStr">
        <is>
          <t>5.1</t>
        </is>
      </c>
      <c r="D106" s="789" t="inlineStr">
        <is>
          <t>Arriendo vehículo diario - RRCC</t>
        </is>
      </c>
      <c r="E106" s="790">
        <f>+E34</f>
        <v/>
      </c>
      <c r="F106" s="789" t="n"/>
      <c r="G106" s="686" t="n"/>
      <c r="H106" s="800" t="n">
        <v>0</v>
      </c>
      <c r="I106" s="800" t="n">
        <v>0</v>
      </c>
      <c r="J106" s="800" t="n">
        <v>0</v>
      </c>
      <c r="K106" s="800" t="n">
        <v>0</v>
      </c>
      <c r="L106" s="800" t="n">
        <v>0</v>
      </c>
      <c r="M106" s="800" t="n">
        <v>0</v>
      </c>
      <c r="N106" s="800" t="n">
        <v>0</v>
      </c>
      <c r="O106" s="800" t="n">
        <v>0</v>
      </c>
      <c r="P106" s="800" t="n">
        <v>0</v>
      </c>
      <c r="Q106" s="800" t="n">
        <v>8</v>
      </c>
      <c r="R106" s="800" t="n">
        <v>8</v>
      </c>
      <c r="S106" s="800" t="n">
        <v>8</v>
      </c>
      <c r="T106" s="800" t="n"/>
      <c r="U106" s="800" t="n"/>
      <c r="V106" s="800" t="n"/>
      <c r="W106" s="800" t="n"/>
      <c r="X106" s="800" t="n">
        <v>0</v>
      </c>
      <c r="Y106" s="800" t="n">
        <v>0</v>
      </c>
      <c r="Z106" s="800" t="n">
        <v>0</v>
      </c>
      <c r="AA106" s="800" t="n">
        <v>0</v>
      </c>
      <c r="AB106" s="800" t="n">
        <v>0</v>
      </c>
      <c r="AC106" s="800" t="n">
        <v>0</v>
      </c>
      <c r="AD106" s="800" t="n">
        <v>0</v>
      </c>
      <c r="AE106" s="800" t="n">
        <v>0</v>
      </c>
      <c r="AF106" s="800" t="n">
        <v>0</v>
      </c>
      <c r="AG106" s="800" t="n">
        <v>0</v>
      </c>
      <c r="AH106" s="800" t="n"/>
      <c r="AI106" s="686" t="n"/>
      <c r="AJ106" s="686" t="n"/>
      <c r="AK106" s="686" t="n"/>
    </row>
    <row r="107" ht="14" customHeight="1" s="549">
      <c r="A107" s="681" t="n"/>
      <c r="B107" s="681" t="inlineStr">
        <is>
          <t>Factura</t>
        </is>
      </c>
      <c r="C107" s="783" t="inlineStr">
        <is>
          <t>5.2</t>
        </is>
      </c>
      <c r="D107" s="784" t="inlineStr">
        <is>
          <t>Vehiculo RRCC</t>
        </is>
      </c>
      <c r="E107" s="785">
        <f>+E35</f>
        <v/>
      </c>
      <c r="F107" s="784" t="n"/>
      <c r="G107" s="681" t="n"/>
      <c r="H107" s="799" t="n">
        <v>0</v>
      </c>
      <c r="I107" s="799" t="n">
        <v>0</v>
      </c>
      <c r="J107" s="799" t="n">
        <v>0</v>
      </c>
      <c r="K107" s="799" t="n">
        <v>0</v>
      </c>
      <c r="L107" s="799" t="n">
        <v>0</v>
      </c>
      <c r="M107" s="799" t="n">
        <v>0</v>
      </c>
      <c r="N107" s="799" t="n">
        <v>0</v>
      </c>
      <c r="O107" s="799" t="n">
        <v>0</v>
      </c>
      <c r="P107" s="799" t="n">
        <v>1</v>
      </c>
      <c r="Q107" s="799" t="n">
        <v>1</v>
      </c>
      <c r="R107" s="799" t="n">
        <v>1</v>
      </c>
      <c r="S107" s="799" t="n">
        <v>1</v>
      </c>
      <c r="T107" s="799" t="n"/>
      <c r="U107" s="799" t="n"/>
      <c r="V107" s="799" t="n">
        <v>0</v>
      </c>
      <c r="W107" s="799" t="n">
        <v>0</v>
      </c>
      <c r="X107" s="799" t="n">
        <v>0</v>
      </c>
      <c r="Y107" s="799" t="n">
        <v>0</v>
      </c>
      <c r="Z107" s="799" t="n">
        <v>0</v>
      </c>
      <c r="AA107" s="799" t="n">
        <v>0</v>
      </c>
      <c r="AB107" s="799" t="n">
        <v>0</v>
      </c>
      <c r="AC107" s="799" t="n">
        <v>0</v>
      </c>
      <c r="AD107" s="799" t="n">
        <v>0</v>
      </c>
      <c r="AE107" s="799" t="n">
        <v>0</v>
      </c>
      <c r="AF107" s="799" t="n">
        <v>0</v>
      </c>
      <c r="AG107" s="799" t="n">
        <v>0</v>
      </c>
      <c r="AH107" s="799" t="n"/>
      <c r="AI107" s="681" t="n"/>
      <c r="AJ107" s="681" t="n"/>
      <c r="AK107" s="681" t="n"/>
    </row>
    <row r="108" ht="14" customHeight="1" s="549">
      <c r="A108" s="686" t="n"/>
      <c r="B108" s="686" t="n"/>
      <c r="C108" s="771" t="inlineStr">
        <is>
          <t>6.</t>
        </is>
      </c>
      <c r="D108" s="682" t="inlineStr">
        <is>
          <t>Alquileres Gestión Técnica</t>
        </is>
      </c>
      <c r="E108" s="780">
        <f>+E36</f>
        <v/>
      </c>
      <c r="F108" s="682" t="n"/>
      <c r="G108" s="686" t="n"/>
      <c r="H108" s="800" t="n">
        <v>0</v>
      </c>
      <c r="I108" s="800" t="n">
        <v>0</v>
      </c>
      <c r="J108" s="800" t="n">
        <v>0</v>
      </c>
      <c r="K108" s="800" t="n">
        <v>0</v>
      </c>
      <c r="L108" s="800" t="n">
        <v>0</v>
      </c>
      <c r="M108" s="800" t="n">
        <v>0</v>
      </c>
      <c r="N108" s="800" t="n">
        <v>0</v>
      </c>
      <c r="O108" s="800" t="n">
        <v>0</v>
      </c>
      <c r="P108" s="800" t="n">
        <v>0</v>
      </c>
      <c r="Q108" s="800" t="n">
        <v>0</v>
      </c>
      <c r="R108" s="800" t="n">
        <v>0</v>
      </c>
      <c r="S108" s="800" t="n">
        <v>0</v>
      </c>
      <c r="T108" s="800" t="n"/>
      <c r="U108" s="800" t="n"/>
      <c r="V108" s="800" t="n">
        <v>0</v>
      </c>
      <c r="W108" s="800" t="n">
        <v>0</v>
      </c>
      <c r="X108" s="800" t="n">
        <v>0</v>
      </c>
      <c r="Y108" s="800" t="n">
        <v>0</v>
      </c>
      <c r="Z108" s="800" t="n">
        <v>0</v>
      </c>
      <c r="AA108" s="800" t="n">
        <v>0</v>
      </c>
      <c r="AB108" s="800" t="n">
        <v>0</v>
      </c>
      <c r="AC108" s="800" t="n">
        <v>0</v>
      </c>
      <c r="AD108" s="800" t="n">
        <v>0</v>
      </c>
      <c r="AE108" s="800" t="n">
        <v>0</v>
      </c>
      <c r="AF108" s="800" t="n">
        <v>0</v>
      </c>
      <c r="AG108" s="800" t="n">
        <v>0</v>
      </c>
      <c r="AH108" s="800" t="n"/>
      <c r="AI108" s="686" t="n"/>
      <c r="AJ108" s="686" t="n"/>
      <c r="AK108" s="686" t="n"/>
    </row>
    <row r="109" ht="14" customHeight="1" s="549">
      <c r="A109" s="681" t="n"/>
      <c r="B109" s="681" t="inlineStr">
        <is>
          <t>Factura</t>
        </is>
      </c>
      <c r="C109" s="783" t="inlineStr">
        <is>
          <t>6.1</t>
        </is>
      </c>
      <c r="D109" s="784" t="inlineStr">
        <is>
          <t>Bodega Terreno</t>
        </is>
      </c>
      <c r="E109" s="785">
        <f>+E37</f>
        <v/>
      </c>
      <c r="F109" s="784" t="n"/>
      <c r="G109" s="681" t="n"/>
      <c r="H109" s="799" t="n">
        <v>0</v>
      </c>
      <c r="I109" s="799" t="n">
        <v>0</v>
      </c>
      <c r="J109" s="799" t="n">
        <v>0</v>
      </c>
      <c r="K109" s="799" t="n">
        <v>0</v>
      </c>
      <c r="L109" s="799" t="n">
        <v>0</v>
      </c>
      <c r="M109" s="799" t="n">
        <v>0</v>
      </c>
      <c r="N109" s="799" t="n">
        <v>0</v>
      </c>
      <c r="O109" s="799" t="n">
        <v>0</v>
      </c>
      <c r="P109" s="799" t="n">
        <v>1</v>
      </c>
      <c r="Q109" s="799" t="n">
        <v>1</v>
      </c>
      <c r="R109" s="799" t="n">
        <v>1</v>
      </c>
      <c r="S109" s="799" t="n">
        <v>1</v>
      </c>
      <c r="T109" s="799" t="n"/>
      <c r="U109" s="799" t="n"/>
      <c r="V109" s="799" t="n">
        <v>1</v>
      </c>
      <c r="W109" s="799" t="n"/>
      <c r="X109" s="799" t="n">
        <v>0</v>
      </c>
      <c r="Y109" s="799" t="n">
        <v>0</v>
      </c>
      <c r="Z109" s="799" t="n">
        <v>0</v>
      </c>
      <c r="AA109" s="799" t="n">
        <v>0</v>
      </c>
      <c r="AB109" s="799" t="n">
        <v>0</v>
      </c>
      <c r="AC109" s="799" t="n">
        <v>0</v>
      </c>
      <c r="AD109" s="799" t="n">
        <v>0</v>
      </c>
      <c r="AE109" s="799" t="n">
        <v>0</v>
      </c>
      <c r="AF109" s="799" t="n">
        <v>0</v>
      </c>
      <c r="AG109" s="799" t="n">
        <v>0</v>
      </c>
      <c r="AH109" s="799" t="n"/>
      <c r="AI109" s="681" t="n"/>
      <c r="AJ109" s="681" t="n"/>
      <c r="AK109" s="681" t="n"/>
    </row>
    <row r="110" ht="14" customHeight="1" s="549">
      <c r="A110" s="686" t="n"/>
      <c r="B110" s="686" t="inlineStr">
        <is>
          <t>Factura</t>
        </is>
      </c>
      <c r="C110" s="788" t="inlineStr">
        <is>
          <t>6.2</t>
        </is>
      </c>
      <c r="D110" s="789" t="inlineStr">
        <is>
          <t>Arriendo vehículo diario - Área Técnica</t>
        </is>
      </c>
      <c r="E110" s="790">
        <f>+E38</f>
        <v/>
      </c>
      <c r="F110" s="789" t="n"/>
      <c r="G110" s="686" t="n"/>
      <c r="H110" s="800" t="n">
        <v>0</v>
      </c>
      <c r="I110" s="800" t="n">
        <v>0</v>
      </c>
      <c r="J110" s="800" t="n">
        <v>0</v>
      </c>
      <c r="K110" s="800" t="n">
        <v>0</v>
      </c>
      <c r="L110" s="800" t="n">
        <v>0</v>
      </c>
      <c r="M110" s="800" t="n">
        <v>0</v>
      </c>
      <c r="N110" s="800" t="n">
        <v>0</v>
      </c>
      <c r="O110" s="800" t="n">
        <v>0</v>
      </c>
      <c r="P110" s="800" t="n">
        <v>0</v>
      </c>
      <c r="Q110" s="800" t="n">
        <v>8</v>
      </c>
      <c r="R110" s="800" t="n">
        <v>8</v>
      </c>
      <c r="S110" s="800" t="n">
        <v>8</v>
      </c>
      <c r="T110" s="800" t="n"/>
      <c r="U110" s="800" t="n"/>
      <c r="V110" s="800" t="n">
        <v>8</v>
      </c>
      <c r="W110" s="800" t="n"/>
      <c r="X110" s="800" t="n">
        <v>0</v>
      </c>
      <c r="Y110" s="800" t="n">
        <v>0</v>
      </c>
      <c r="Z110" s="800" t="n">
        <v>0</v>
      </c>
      <c r="AA110" s="800" t="n">
        <v>0</v>
      </c>
      <c r="AB110" s="800" t="n">
        <v>0</v>
      </c>
      <c r="AC110" s="800" t="n">
        <v>0</v>
      </c>
      <c r="AD110" s="800" t="n">
        <v>0</v>
      </c>
      <c r="AE110" s="800" t="n">
        <v>0</v>
      </c>
      <c r="AF110" s="800" t="n">
        <v>0</v>
      </c>
      <c r="AG110" s="800" t="n">
        <v>0</v>
      </c>
      <c r="AH110" s="800" t="n"/>
      <c r="AI110" s="686" t="n"/>
      <c r="AJ110" s="686" t="n"/>
      <c r="AK110" s="686" t="n"/>
    </row>
    <row r="111" ht="14" customHeight="1" s="549">
      <c r="A111" s="681" t="n"/>
      <c r="B111" s="681" t="inlineStr">
        <is>
          <t>Factura</t>
        </is>
      </c>
      <c r="C111" s="783" t="inlineStr">
        <is>
          <t>6.3</t>
        </is>
      </c>
      <c r="D111" s="784" t="inlineStr">
        <is>
          <t>Vehiculo Instaladores</t>
        </is>
      </c>
      <c r="E111" s="785">
        <f>+E39</f>
        <v/>
      </c>
      <c r="F111" s="784" t="n"/>
      <c r="G111" s="681" t="n"/>
      <c r="H111" s="799" t="n">
        <v>0</v>
      </c>
      <c r="I111" s="799" t="n">
        <v>0</v>
      </c>
      <c r="J111" s="799" t="n">
        <v>0</v>
      </c>
      <c r="K111" s="799" t="n">
        <v>0</v>
      </c>
      <c r="L111" s="799" t="n">
        <v>0</v>
      </c>
      <c r="M111" s="799" t="n">
        <v>0</v>
      </c>
      <c r="N111" s="799" t="n">
        <v>0</v>
      </c>
      <c r="O111" s="799" t="n">
        <v>0</v>
      </c>
      <c r="P111" s="799" t="n"/>
      <c r="Q111" s="799" t="n">
        <v>1</v>
      </c>
      <c r="R111" s="799" t="n">
        <v>2</v>
      </c>
      <c r="S111" s="799" t="n">
        <v>2</v>
      </c>
      <c r="T111" s="799" t="n"/>
      <c r="U111" s="799" t="n"/>
      <c r="V111" s="799" t="n"/>
      <c r="W111" s="799" t="n"/>
      <c r="X111" s="799" t="n">
        <v>0</v>
      </c>
      <c r="Y111" s="799" t="n">
        <v>0</v>
      </c>
      <c r="Z111" s="799" t="n">
        <v>0</v>
      </c>
      <c r="AA111" s="799" t="n">
        <v>0</v>
      </c>
      <c r="AB111" s="799" t="n">
        <v>0</v>
      </c>
      <c r="AC111" s="799" t="n">
        <v>0</v>
      </c>
      <c r="AD111" s="799" t="n">
        <v>0</v>
      </c>
      <c r="AE111" s="799" t="n">
        <v>0</v>
      </c>
      <c r="AF111" s="799" t="n">
        <v>0</v>
      </c>
      <c r="AG111" s="799" t="n">
        <v>0</v>
      </c>
      <c r="AH111" s="799" t="n"/>
      <c r="AI111" s="681" t="n"/>
      <c r="AJ111" s="681" t="n"/>
      <c r="AK111" s="681" t="n"/>
    </row>
    <row r="112" ht="14" customHeight="1" s="549">
      <c r="A112" s="686" t="n"/>
      <c r="B112" s="686" t="inlineStr">
        <is>
          <t>Factura</t>
        </is>
      </c>
      <c r="C112" s="788" t="inlineStr">
        <is>
          <t>6.4</t>
        </is>
      </c>
      <c r="D112" s="789" t="inlineStr">
        <is>
          <t>Vehiculo Transporte (Maxus Deliver 9)</t>
        </is>
      </c>
      <c r="E112" s="790">
        <f>+E40</f>
        <v/>
      </c>
      <c r="F112" s="789" t="n"/>
      <c r="G112" s="686" t="n"/>
      <c r="H112" s="800" t="n">
        <v>0</v>
      </c>
      <c r="I112" s="800" t="n">
        <v>0</v>
      </c>
      <c r="J112" s="800" t="n">
        <v>0</v>
      </c>
      <c r="K112" s="800" t="n">
        <v>0</v>
      </c>
      <c r="L112" s="800" t="n">
        <v>0</v>
      </c>
      <c r="M112" s="800" t="n">
        <v>0</v>
      </c>
      <c r="N112" s="800" t="n">
        <v>0</v>
      </c>
      <c r="O112" s="800" t="n">
        <v>0</v>
      </c>
      <c r="P112" s="800" t="n"/>
      <c r="Q112" s="800" t="n">
        <v>1</v>
      </c>
      <c r="R112" s="800" t="n">
        <v>1</v>
      </c>
      <c r="S112" s="800" t="n">
        <v>1</v>
      </c>
      <c r="T112" s="800" t="n"/>
      <c r="U112" s="800" t="n"/>
      <c r="V112" s="800" t="n"/>
      <c r="W112" s="800" t="n"/>
      <c r="X112" s="800" t="n">
        <v>0</v>
      </c>
      <c r="Y112" s="800" t="n">
        <v>0</v>
      </c>
      <c r="Z112" s="800" t="n">
        <v>0</v>
      </c>
      <c r="AA112" s="800" t="n">
        <v>0</v>
      </c>
      <c r="AB112" s="800" t="n">
        <v>0</v>
      </c>
      <c r="AC112" s="800" t="n">
        <v>0</v>
      </c>
      <c r="AD112" s="800" t="n">
        <v>0</v>
      </c>
      <c r="AE112" s="800" t="n">
        <v>0</v>
      </c>
      <c r="AF112" s="800" t="n">
        <v>0</v>
      </c>
      <c r="AG112" s="800" t="n">
        <v>0</v>
      </c>
      <c r="AH112" s="800" t="n"/>
      <c r="AI112" s="686" t="n"/>
      <c r="AJ112" s="686" t="n"/>
      <c r="AK112" s="686" t="n"/>
    </row>
    <row r="113" ht="14" customHeight="1" s="549">
      <c r="A113" s="681" t="n"/>
      <c r="B113" s="681" t="n"/>
      <c r="C113" s="712" t="inlineStr">
        <is>
          <t>7.</t>
        </is>
      </c>
      <c r="D113" s="688" t="inlineStr">
        <is>
          <t>Transporte</t>
        </is>
      </c>
      <c r="E113" s="792">
        <f>+E41</f>
        <v/>
      </c>
      <c r="F113" s="688" t="n"/>
      <c r="G113" s="681" t="n"/>
      <c r="H113" s="799" t="n">
        <v>0</v>
      </c>
      <c r="I113" s="799" t="n">
        <v>0</v>
      </c>
      <c r="J113" s="799" t="n">
        <v>0</v>
      </c>
      <c r="K113" s="799" t="n">
        <v>0</v>
      </c>
      <c r="L113" s="799" t="n">
        <v>0</v>
      </c>
      <c r="M113" s="799" t="n">
        <v>0</v>
      </c>
      <c r="N113" s="799" t="n">
        <v>0</v>
      </c>
      <c r="O113" s="799" t="n">
        <v>0</v>
      </c>
      <c r="P113" s="799" t="n">
        <v>0</v>
      </c>
      <c r="Q113" s="799" t="n">
        <v>0</v>
      </c>
      <c r="R113" s="799" t="n">
        <v>0</v>
      </c>
      <c r="S113" s="799" t="n">
        <v>0</v>
      </c>
      <c r="T113" s="799" t="n"/>
      <c r="U113" s="799" t="n"/>
      <c r="V113" s="799" t="n">
        <v>0</v>
      </c>
      <c r="W113" s="799" t="n">
        <v>0</v>
      </c>
      <c r="X113" s="799" t="n">
        <v>0</v>
      </c>
      <c r="Y113" s="799" t="n">
        <v>0</v>
      </c>
      <c r="Z113" s="799" t="n">
        <v>0</v>
      </c>
      <c r="AA113" s="799" t="n">
        <v>0</v>
      </c>
      <c r="AB113" s="799" t="n">
        <v>0</v>
      </c>
      <c r="AC113" s="799" t="n">
        <v>0</v>
      </c>
      <c r="AD113" s="799" t="n">
        <v>0</v>
      </c>
      <c r="AE113" s="799" t="n">
        <v>0</v>
      </c>
      <c r="AF113" s="799" t="n">
        <v>0</v>
      </c>
      <c r="AG113" s="799" t="n">
        <v>0</v>
      </c>
      <c r="AH113" s="799" t="n"/>
      <c r="AI113" s="681" t="n"/>
      <c r="AJ113" s="681" t="n"/>
      <c r="AK113" s="681" t="n"/>
    </row>
    <row r="114" ht="14" customHeight="1" s="549">
      <c r="A114" s="686" t="n"/>
      <c r="B114" s="686" t="inlineStr">
        <is>
          <t>Factura</t>
        </is>
      </c>
      <c r="C114" s="788" t="inlineStr">
        <is>
          <t>7.1</t>
        </is>
      </c>
      <c r="D114" s="789" t="inlineStr">
        <is>
          <t>Transporte ZIMPERTEC</t>
        </is>
      </c>
      <c r="E114" s="790">
        <f>+E42</f>
        <v/>
      </c>
      <c r="F114" s="789" t="n"/>
      <c r="G114" s="686" t="n"/>
      <c r="H114" s="800" t="n">
        <v>0</v>
      </c>
      <c r="I114" s="800" t="n">
        <v>0</v>
      </c>
      <c r="J114" s="800" t="n">
        <v>0</v>
      </c>
      <c r="K114" s="800" t="n">
        <v>0</v>
      </c>
      <c r="L114" s="800" t="n">
        <v>0</v>
      </c>
      <c r="M114" s="800" t="n">
        <v>0</v>
      </c>
      <c r="N114" s="800" t="n">
        <v>0</v>
      </c>
      <c r="O114" s="800" t="n">
        <v>0</v>
      </c>
      <c r="P114" s="800" t="n">
        <v>0</v>
      </c>
      <c r="Q114" s="800" t="n">
        <v>0</v>
      </c>
      <c r="R114" s="800" t="n">
        <v>0</v>
      </c>
      <c r="S114" s="800" t="n">
        <v>0</v>
      </c>
      <c r="T114" s="800" t="n"/>
      <c r="U114" s="800" t="n"/>
      <c r="V114" s="800" t="n">
        <v>0</v>
      </c>
      <c r="W114" s="800" t="n">
        <v>0</v>
      </c>
      <c r="X114" s="800" t="n">
        <v>0</v>
      </c>
      <c r="Y114" s="800" t="n">
        <v>0</v>
      </c>
      <c r="Z114" s="800" t="n">
        <v>0</v>
      </c>
      <c r="AA114" s="800" t="n">
        <v>0</v>
      </c>
      <c r="AB114" s="800" t="n">
        <v>0</v>
      </c>
      <c r="AC114" s="800" t="n">
        <v>0</v>
      </c>
      <c r="AD114" s="800" t="n">
        <v>0</v>
      </c>
      <c r="AE114" s="800" t="n">
        <v>0</v>
      </c>
      <c r="AF114" s="800" t="n">
        <v>0</v>
      </c>
      <c r="AG114" s="800" t="n">
        <v>0</v>
      </c>
      <c r="AH114" s="686" t="n"/>
      <c r="AI114" s="686" t="n"/>
      <c r="AJ114" s="686" t="n"/>
      <c r="AK114" s="686" t="n"/>
    </row>
    <row r="115" ht="11.25" customHeight="1" s="549"/>
    <row r="116" ht="14" customHeight="1" s="549">
      <c r="A116" s="681" t="n"/>
      <c r="B116" s="681" t="inlineStr">
        <is>
          <t>Factura</t>
        </is>
      </c>
      <c r="C116" s="783" t="inlineStr">
        <is>
          <t>7.3</t>
        </is>
      </c>
      <c r="D116" s="784" t="inlineStr">
        <is>
          <t>Traslado Contenedor (ida y vuelta)</t>
        </is>
      </c>
      <c r="E116" s="785">
        <f>+E44</f>
        <v/>
      </c>
      <c r="F116" s="784" t="n"/>
      <c r="G116" s="681" t="n"/>
      <c r="H116" s="799" t="n">
        <v>0</v>
      </c>
      <c r="I116" s="799" t="n">
        <v>0</v>
      </c>
      <c r="J116" s="799" t="n">
        <v>0</v>
      </c>
      <c r="K116" s="799" t="n">
        <v>0</v>
      </c>
      <c r="L116" s="799" t="n">
        <v>0</v>
      </c>
      <c r="M116" s="799" t="n">
        <v>0</v>
      </c>
      <c r="N116" s="799" t="n">
        <v>0</v>
      </c>
      <c r="O116" s="799" t="n">
        <v>0</v>
      </c>
      <c r="P116" s="799" t="n">
        <v>0</v>
      </c>
      <c r="Q116" s="799" t="n">
        <v>1</v>
      </c>
      <c r="R116" s="799" t="n">
        <v>0</v>
      </c>
      <c r="S116" s="799" t="n">
        <v>0</v>
      </c>
      <c r="T116" s="799" t="n"/>
      <c r="U116" s="799" t="n"/>
      <c r="V116" s="799" t="n">
        <v>0</v>
      </c>
      <c r="W116" s="799" t="n">
        <v>0</v>
      </c>
      <c r="X116" s="799" t="n">
        <v>0</v>
      </c>
      <c r="Y116" s="799" t="n">
        <v>0</v>
      </c>
      <c r="Z116" s="799" t="n">
        <v>0</v>
      </c>
      <c r="AA116" s="799" t="n">
        <v>0</v>
      </c>
      <c r="AB116" s="799" t="n">
        <v>0</v>
      </c>
      <c r="AC116" s="799" t="n">
        <v>0</v>
      </c>
      <c r="AD116" s="799" t="n">
        <v>0</v>
      </c>
      <c r="AE116" s="799" t="n">
        <v>0</v>
      </c>
      <c r="AF116" s="799" t="n">
        <v>0</v>
      </c>
      <c r="AG116" s="799" t="n">
        <v>0</v>
      </c>
      <c r="AH116" s="681" t="n"/>
      <c r="AI116" s="681" t="n"/>
      <c r="AJ116" s="681" t="n"/>
      <c r="AK116" s="681" t="n"/>
    </row>
    <row r="117" ht="14" customHeight="1" s="549">
      <c r="A117" s="686" t="n"/>
      <c r="B117" s="686" t="inlineStr">
        <is>
          <t>Factura</t>
        </is>
      </c>
      <c r="C117" s="788" t="inlineStr">
        <is>
          <t>7.4</t>
        </is>
      </c>
      <c r="D117" s="789" t="inlineStr">
        <is>
          <t>Camión Transporte Origen - Punto Destino (RAMPLA ABIERTA)</t>
        </is>
      </c>
      <c r="E117" s="790">
        <f>+E45</f>
        <v/>
      </c>
      <c r="F117" s="789" t="n"/>
      <c r="G117" s="686" t="n"/>
      <c r="H117" s="800" t="n">
        <v>0</v>
      </c>
      <c r="I117" s="800" t="n">
        <v>0</v>
      </c>
      <c r="J117" s="800" t="n">
        <v>0</v>
      </c>
      <c r="K117" s="800" t="n">
        <v>0</v>
      </c>
      <c r="L117" s="800" t="n">
        <v>0</v>
      </c>
      <c r="M117" s="800" t="n">
        <v>0</v>
      </c>
      <c r="N117" s="800" t="n">
        <v>0</v>
      </c>
      <c r="O117" s="800" t="n">
        <v>0</v>
      </c>
      <c r="P117" s="800" t="n">
        <v>0</v>
      </c>
      <c r="Q117" s="800" t="n">
        <v>1</v>
      </c>
      <c r="R117" s="800" t="n">
        <v>0</v>
      </c>
      <c r="S117" s="800" t="n">
        <v>0</v>
      </c>
      <c r="T117" s="800" t="n"/>
      <c r="U117" s="800" t="n"/>
      <c r="V117" s="800" t="n">
        <v>0</v>
      </c>
      <c r="W117" s="800" t="n">
        <v>0</v>
      </c>
      <c r="X117" s="800" t="n">
        <v>0</v>
      </c>
      <c r="Y117" s="800" t="n">
        <v>0</v>
      </c>
      <c r="Z117" s="800" t="n">
        <v>0</v>
      </c>
      <c r="AA117" s="800" t="n">
        <v>0</v>
      </c>
      <c r="AB117" s="800" t="n">
        <v>0</v>
      </c>
      <c r="AC117" s="800" t="n">
        <v>0</v>
      </c>
      <c r="AD117" s="800" t="n">
        <v>0</v>
      </c>
      <c r="AE117" s="800" t="n">
        <v>0</v>
      </c>
      <c r="AF117" s="800" t="n">
        <v>0</v>
      </c>
      <c r="AG117" s="800" t="n">
        <v>0</v>
      </c>
      <c r="AH117" s="686" t="n"/>
      <c r="AI117" s="686" t="n"/>
      <c r="AJ117" s="686" t="n"/>
      <c r="AK117" s="686" t="n"/>
    </row>
    <row r="118"/>
    <row r="119" ht="11.25" customHeight="1" s="549"/>
    <row r="120" ht="14" customHeight="1" s="549">
      <c r="A120" s="681" t="n"/>
      <c r="B120" s="681" t="inlineStr">
        <is>
          <t>Factura</t>
        </is>
      </c>
      <c r="C120" s="783" t="inlineStr">
        <is>
          <t>7.7</t>
        </is>
      </c>
      <c r="D120" s="784" t="inlineStr">
        <is>
          <t>Camión Transporte Origen - Punto Destino (Camión cerrado)</t>
        </is>
      </c>
      <c r="E120" s="785">
        <f>+E48</f>
        <v/>
      </c>
      <c r="F120" s="784" t="n"/>
      <c r="G120" s="681" t="n"/>
      <c r="H120" s="799" t="n">
        <v>0</v>
      </c>
      <c r="I120" s="799" t="n">
        <v>0</v>
      </c>
      <c r="J120" s="799" t="n">
        <v>0</v>
      </c>
      <c r="K120" s="799" t="n">
        <v>0</v>
      </c>
      <c r="L120" s="799" t="n">
        <v>0</v>
      </c>
      <c r="M120" s="799" t="n">
        <v>0</v>
      </c>
      <c r="N120" s="799" t="n">
        <v>0</v>
      </c>
      <c r="O120" s="799" t="n">
        <v>0</v>
      </c>
      <c r="P120" s="799" t="n">
        <v>0</v>
      </c>
      <c r="Q120" s="799" t="n">
        <v>1</v>
      </c>
      <c r="R120" s="799" t="n">
        <v>0</v>
      </c>
      <c r="S120" s="799" t="n">
        <v>0</v>
      </c>
      <c r="T120" s="799" t="n"/>
      <c r="U120" s="799" t="n"/>
      <c r="V120" s="799" t="n">
        <v>0</v>
      </c>
      <c r="W120" s="799" t="n">
        <v>0</v>
      </c>
      <c r="X120" s="799" t="n">
        <v>0</v>
      </c>
      <c r="Y120" s="799" t="n">
        <v>0</v>
      </c>
      <c r="Z120" s="799" t="n">
        <v>0</v>
      </c>
      <c r="AA120" s="799" t="n">
        <v>0</v>
      </c>
      <c r="AB120" s="799" t="n">
        <v>0</v>
      </c>
      <c r="AC120" s="799" t="n">
        <v>0</v>
      </c>
      <c r="AD120" s="799" t="n">
        <v>0</v>
      </c>
      <c r="AE120" s="799" t="n">
        <v>0</v>
      </c>
      <c r="AF120" s="799" t="n">
        <v>0</v>
      </c>
      <c r="AG120" s="799" t="n">
        <v>0</v>
      </c>
      <c r="AH120" s="681" t="n"/>
      <c r="AI120" s="681" t="n"/>
      <c r="AJ120" s="681" t="n"/>
      <c r="AK120" s="681" t="n"/>
    </row>
    <row r="121" ht="14" customHeight="1" s="549">
      <c r="A121" s="686" t="n"/>
      <c r="B121" s="686" t="n"/>
      <c r="C121" s="771" t="inlineStr">
        <is>
          <t>8.</t>
        </is>
      </c>
      <c r="D121" s="682" t="inlineStr">
        <is>
          <t>Viajes RRCC</t>
        </is>
      </c>
      <c r="E121" s="780">
        <f>+E49</f>
        <v/>
      </c>
      <c r="F121" s="682" t="n"/>
      <c r="G121" s="686" t="n"/>
      <c r="H121" s="800" t="n">
        <v>0</v>
      </c>
      <c r="I121" s="800" t="n">
        <v>0</v>
      </c>
      <c r="J121" s="800" t="n">
        <v>0</v>
      </c>
      <c r="K121" s="800" t="n">
        <v>0</v>
      </c>
      <c r="L121" s="800" t="n">
        <v>0</v>
      </c>
      <c r="M121" s="800" t="n">
        <v>0</v>
      </c>
      <c r="N121" s="800" t="n">
        <v>0</v>
      </c>
      <c r="O121" s="800" t="n">
        <v>0</v>
      </c>
      <c r="P121" s="800" t="n">
        <v>0</v>
      </c>
      <c r="Q121" s="800" t="n">
        <v>0</v>
      </c>
      <c r="R121" s="800" t="n">
        <v>0</v>
      </c>
      <c r="S121" s="800" t="n">
        <v>0</v>
      </c>
      <c r="T121" s="800" t="n"/>
      <c r="U121" s="800" t="n"/>
      <c r="V121" s="800" t="n">
        <v>0</v>
      </c>
      <c r="W121" s="800" t="n">
        <v>0</v>
      </c>
      <c r="X121" s="800" t="n">
        <v>0</v>
      </c>
      <c r="Y121" s="800" t="n">
        <v>0</v>
      </c>
      <c r="Z121" s="800" t="n">
        <v>0</v>
      </c>
      <c r="AA121" s="800" t="n">
        <v>0</v>
      </c>
      <c r="AB121" s="800" t="n">
        <v>0</v>
      </c>
      <c r="AC121" s="800" t="n">
        <v>0</v>
      </c>
      <c r="AD121" s="800" t="n">
        <v>0</v>
      </c>
      <c r="AE121" s="800" t="n">
        <v>0</v>
      </c>
      <c r="AF121" s="800" t="n">
        <v>0</v>
      </c>
      <c r="AG121" s="800" t="n">
        <v>0</v>
      </c>
      <c r="AH121" s="686" t="n"/>
      <c r="AI121" s="686" t="n"/>
      <c r="AJ121" s="686" t="n"/>
      <c r="AK121" s="686" t="n"/>
    </row>
    <row r="122" ht="14" customHeight="1" s="549">
      <c r="A122" s="681" t="n"/>
      <c r="B122" s="681" t="inlineStr">
        <is>
          <t>Factura</t>
        </is>
      </c>
      <c r="C122" s="783" t="inlineStr">
        <is>
          <t>8.1</t>
        </is>
      </c>
      <c r="D122" s="784" t="inlineStr">
        <is>
          <t>Traslados de personal</t>
        </is>
      </c>
      <c r="E122" s="785">
        <f>+E50</f>
        <v/>
      </c>
      <c r="F122" s="784" t="n"/>
      <c r="G122" s="681" t="n"/>
      <c r="H122" s="799" t="n">
        <v>0</v>
      </c>
      <c r="I122" s="799" t="n">
        <v>0</v>
      </c>
      <c r="J122" s="799" t="n">
        <v>0</v>
      </c>
      <c r="K122" s="799" t="n">
        <v>0</v>
      </c>
      <c r="L122" s="799" t="n">
        <v>0</v>
      </c>
      <c r="M122" s="799" t="n">
        <v>0</v>
      </c>
      <c r="N122" s="799" t="n">
        <v>0</v>
      </c>
      <c r="O122" s="799" t="n">
        <v>0</v>
      </c>
      <c r="P122" s="799" t="n">
        <v>4</v>
      </c>
      <c r="Q122" s="799" t="n">
        <v>4</v>
      </c>
      <c r="R122" s="799" t="n">
        <v>4</v>
      </c>
      <c r="S122" s="799" t="n">
        <v>4</v>
      </c>
      <c r="T122" s="799" t="n"/>
      <c r="U122" s="799" t="n"/>
      <c r="V122" s="799" t="n">
        <v>4</v>
      </c>
      <c r="W122" s="799" t="n"/>
      <c r="X122" s="799" t="n">
        <v>0</v>
      </c>
      <c r="Y122" s="799" t="n">
        <v>0</v>
      </c>
      <c r="Z122" s="799" t="n">
        <v>0</v>
      </c>
      <c r="AA122" s="799" t="n">
        <v>0</v>
      </c>
      <c r="AB122" s="799" t="n">
        <v>0</v>
      </c>
      <c r="AC122" s="799" t="n">
        <v>0</v>
      </c>
      <c r="AD122" s="799" t="n">
        <v>0</v>
      </c>
      <c r="AE122" s="799" t="n">
        <v>0</v>
      </c>
      <c r="AF122" s="799" t="n">
        <v>0</v>
      </c>
      <c r="AG122" s="799" t="n">
        <v>0</v>
      </c>
      <c r="AH122" s="681" t="n"/>
      <c r="AI122" s="681" t="n"/>
      <c r="AJ122" s="681" t="n"/>
      <c r="AK122" s="681" t="n"/>
    </row>
    <row r="123" ht="14" customHeight="1" s="549">
      <c r="A123" s="686" t="n"/>
      <c r="B123" s="686" t="inlineStr">
        <is>
          <t xml:space="preserve">Factura o Boleta </t>
        </is>
      </c>
      <c r="C123" s="788" t="inlineStr">
        <is>
          <t>8.2</t>
        </is>
      </c>
      <c r="D123" s="789" t="inlineStr">
        <is>
          <t>Alojamiento</t>
        </is>
      </c>
      <c r="E123" s="790">
        <f>+E51</f>
        <v/>
      </c>
      <c r="F123" s="789" t="n"/>
      <c r="G123" s="686" t="n"/>
      <c r="H123" s="800" t="n">
        <v>0</v>
      </c>
      <c r="I123" s="800" t="n">
        <v>0</v>
      </c>
      <c r="J123" s="800" t="n">
        <v>0</v>
      </c>
      <c r="K123" s="800" t="n">
        <v>0</v>
      </c>
      <c r="L123" s="800" t="n">
        <v>0</v>
      </c>
      <c r="M123" s="800" t="n">
        <v>0</v>
      </c>
      <c r="N123" s="800" t="n">
        <v>0</v>
      </c>
      <c r="O123" s="800" t="n">
        <v>0</v>
      </c>
      <c r="P123" s="800" t="n">
        <v>10</v>
      </c>
      <c r="Q123" s="800" t="n">
        <v>10</v>
      </c>
      <c r="R123" s="800" t="n">
        <v>10</v>
      </c>
      <c r="S123" s="800" t="n">
        <v>10</v>
      </c>
      <c r="T123" s="800" t="n"/>
      <c r="U123" s="800" t="n"/>
      <c r="V123" s="800" t="n">
        <v>1</v>
      </c>
      <c r="W123" s="800" t="n"/>
      <c r="X123" s="800" t="n">
        <v>0</v>
      </c>
      <c r="Y123" s="800" t="n">
        <v>0</v>
      </c>
      <c r="Z123" s="800" t="n">
        <v>0</v>
      </c>
      <c r="AA123" s="800" t="n">
        <v>0</v>
      </c>
      <c r="AB123" s="800" t="n">
        <v>0</v>
      </c>
      <c r="AC123" s="800" t="n">
        <v>0</v>
      </c>
      <c r="AD123" s="800" t="n">
        <v>0</v>
      </c>
      <c r="AE123" s="800" t="n">
        <v>0</v>
      </c>
      <c r="AF123" s="800" t="n">
        <v>0</v>
      </c>
      <c r="AG123" s="800" t="n">
        <v>0</v>
      </c>
      <c r="AH123" s="686" t="n"/>
      <c r="AI123" s="686" t="n"/>
      <c r="AJ123" s="686" t="n"/>
      <c r="AK123" s="686" t="n"/>
    </row>
    <row r="124" ht="14" customHeight="1" s="549">
      <c r="A124" s="681" t="n"/>
      <c r="B124" s="681" t="inlineStr">
        <is>
          <t xml:space="preserve">Boleta </t>
        </is>
      </c>
      <c r="C124" s="783" t="inlineStr">
        <is>
          <t>8.3</t>
        </is>
      </c>
      <c r="D124" s="784" t="inlineStr">
        <is>
          <t>Alimentación</t>
        </is>
      </c>
      <c r="E124" s="785">
        <f>+E52</f>
        <v/>
      </c>
      <c r="F124" s="784" t="n"/>
      <c r="G124" s="681" t="n"/>
      <c r="H124" s="799" t="n">
        <v>0</v>
      </c>
      <c r="I124" s="799" t="n">
        <v>0</v>
      </c>
      <c r="J124" s="799" t="n">
        <v>0</v>
      </c>
      <c r="K124" s="799" t="n">
        <v>0</v>
      </c>
      <c r="L124" s="799" t="n">
        <v>0</v>
      </c>
      <c r="M124" s="799" t="n">
        <v>0</v>
      </c>
      <c r="N124" s="799" t="n">
        <v>0</v>
      </c>
      <c r="O124" s="799" t="n">
        <v>0</v>
      </c>
      <c r="P124" s="799" t="n">
        <v>10</v>
      </c>
      <c r="Q124" s="799" t="n">
        <v>10</v>
      </c>
      <c r="R124" s="799" t="n">
        <v>10</v>
      </c>
      <c r="S124" s="799" t="n">
        <v>10</v>
      </c>
      <c r="T124" s="799" t="n"/>
      <c r="U124" s="799" t="n"/>
      <c r="V124" s="799" t="n">
        <v>4</v>
      </c>
      <c r="W124" s="799" t="n"/>
      <c r="X124" s="799" t="n">
        <v>0</v>
      </c>
      <c r="Y124" s="799" t="n">
        <v>0</v>
      </c>
      <c r="Z124" s="799" t="n">
        <v>0</v>
      </c>
      <c r="AA124" s="799" t="n">
        <v>0</v>
      </c>
      <c r="AB124" s="799" t="n">
        <v>0</v>
      </c>
      <c r="AC124" s="799" t="n">
        <v>0</v>
      </c>
      <c r="AD124" s="799" t="n">
        <v>0</v>
      </c>
      <c r="AE124" s="799" t="n">
        <v>0</v>
      </c>
      <c r="AF124" s="799" t="n">
        <v>0</v>
      </c>
      <c r="AG124" s="799" t="n">
        <v>0</v>
      </c>
      <c r="AH124" s="681" t="n"/>
      <c r="AI124" s="681" t="n"/>
      <c r="AJ124" s="681" t="n"/>
      <c r="AK124" s="681" t="n"/>
    </row>
    <row r="125" ht="14" customHeight="1" s="549">
      <c r="A125" s="686" t="n"/>
      <c r="B125" s="686" t="inlineStr">
        <is>
          <t xml:space="preserve">Factura o Boleta </t>
        </is>
      </c>
      <c r="C125" s="788" t="inlineStr">
        <is>
          <t>8.4</t>
        </is>
      </c>
      <c r="D125" s="789" t="inlineStr">
        <is>
          <t>Combustible arriendo diario</t>
        </is>
      </c>
      <c r="E125" s="790">
        <f>+E53</f>
        <v/>
      </c>
      <c r="F125" s="789" t="n"/>
      <c r="G125" s="686" t="n"/>
      <c r="H125" s="800" t="n">
        <v>0</v>
      </c>
      <c r="I125" s="800" t="n">
        <v>0</v>
      </c>
      <c r="J125" s="800" t="n">
        <v>0</v>
      </c>
      <c r="K125" s="800" t="n">
        <v>0</v>
      </c>
      <c r="L125" s="800" t="n">
        <v>0</v>
      </c>
      <c r="M125" s="800" t="n">
        <v>0</v>
      </c>
      <c r="N125" s="800" t="n">
        <v>0</v>
      </c>
      <c r="O125" s="800" t="n">
        <v>0</v>
      </c>
      <c r="P125" s="800" t="n">
        <v>4</v>
      </c>
      <c r="Q125" s="800" t="n">
        <v>4</v>
      </c>
      <c r="R125" s="800" t="n">
        <v>4</v>
      </c>
      <c r="S125" s="800" t="n">
        <v>4</v>
      </c>
      <c r="T125" s="800" t="n"/>
      <c r="U125" s="800" t="n"/>
      <c r="V125" s="800" t="n">
        <v>4</v>
      </c>
      <c r="W125" s="800" t="n"/>
      <c r="X125" s="800" t="n">
        <v>0</v>
      </c>
      <c r="Y125" s="800" t="n">
        <v>0</v>
      </c>
      <c r="Z125" s="800" t="n">
        <v>0</v>
      </c>
      <c r="AA125" s="800" t="n">
        <v>0</v>
      </c>
      <c r="AB125" s="800" t="n">
        <v>0</v>
      </c>
      <c r="AC125" s="800" t="n">
        <v>0</v>
      </c>
      <c r="AD125" s="800" t="n">
        <v>0</v>
      </c>
      <c r="AE125" s="800" t="n">
        <v>0</v>
      </c>
      <c r="AF125" s="800" t="n">
        <v>0</v>
      </c>
      <c r="AG125" s="800" t="n">
        <v>0</v>
      </c>
      <c r="AH125" s="686" t="n"/>
      <c r="AI125" s="686" t="n"/>
      <c r="AJ125" s="686" t="n"/>
      <c r="AK125" s="686" t="n"/>
    </row>
    <row r="126" ht="14" customHeight="1" s="549">
      <c r="A126" s="681" t="n"/>
      <c r="B126" s="681" t="inlineStr">
        <is>
          <t xml:space="preserve">Factura o Boleta </t>
        </is>
      </c>
      <c r="C126" s="783" t="inlineStr">
        <is>
          <t>8.5</t>
        </is>
      </c>
      <c r="D126" s="784" t="inlineStr">
        <is>
          <t>Combustible arriendo mensual</t>
        </is>
      </c>
      <c r="E126" s="785">
        <f>+E54</f>
        <v/>
      </c>
      <c r="F126" s="784" t="n"/>
      <c r="G126" s="681" t="n"/>
      <c r="H126" s="799" t="n">
        <v>0</v>
      </c>
      <c r="I126" s="799" t="n">
        <v>0</v>
      </c>
      <c r="J126" s="799" t="n">
        <v>0</v>
      </c>
      <c r="K126" s="799" t="n">
        <v>0</v>
      </c>
      <c r="L126" s="799" t="n">
        <v>0</v>
      </c>
      <c r="M126" s="799" t="n">
        <v>0</v>
      </c>
      <c r="N126" s="799" t="n">
        <v>0</v>
      </c>
      <c r="O126" s="799" t="n">
        <v>0</v>
      </c>
      <c r="P126" s="799" t="n">
        <v>1</v>
      </c>
      <c r="Q126" s="799" t="n">
        <v>1</v>
      </c>
      <c r="R126" s="799" t="n">
        <v>1</v>
      </c>
      <c r="S126" s="799" t="n">
        <v>1</v>
      </c>
      <c r="T126" s="799" t="n"/>
      <c r="U126" s="799" t="n"/>
      <c r="V126" s="799" t="n">
        <v>1</v>
      </c>
      <c r="W126" s="799" t="n"/>
      <c r="X126" s="799" t="n">
        <v>0</v>
      </c>
      <c r="Y126" s="799" t="n">
        <v>0</v>
      </c>
      <c r="Z126" s="799" t="n">
        <v>0</v>
      </c>
      <c r="AA126" s="799" t="n">
        <v>0</v>
      </c>
      <c r="AB126" s="799" t="n">
        <v>0</v>
      </c>
      <c r="AC126" s="799" t="n">
        <v>0</v>
      </c>
      <c r="AD126" s="799" t="n">
        <v>0</v>
      </c>
      <c r="AE126" s="799" t="n">
        <v>0</v>
      </c>
      <c r="AF126" s="799" t="n">
        <v>0</v>
      </c>
      <c r="AG126" s="799" t="n">
        <v>0</v>
      </c>
      <c r="AH126" s="681" t="n"/>
      <c r="AI126" s="681" t="n"/>
      <c r="AJ126" s="681" t="n"/>
      <c r="AK126" s="681" t="n"/>
    </row>
    <row r="127" ht="14" customHeight="1" s="549">
      <c r="A127" s="686" t="n"/>
      <c r="B127" s="686" t="inlineStr">
        <is>
          <t xml:space="preserve">Boleta </t>
        </is>
      </c>
      <c r="C127" s="788" t="inlineStr">
        <is>
          <t>8.6</t>
        </is>
      </c>
      <c r="D127" s="789" t="inlineStr">
        <is>
          <t>Peajes</t>
        </is>
      </c>
      <c r="E127" s="790">
        <f>+E55</f>
        <v/>
      </c>
      <c r="F127" s="789" t="n"/>
      <c r="G127" s="686" t="n"/>
      <c r="H127" s="800" t="n">
        <v>0</v>
      </c>
      <c r="I127" s="800" t="n">
        <v>0</v>
      </c>
      <c r="J127" s="800" t="n">
        <v>0</v>
      </c>
      <c r="K127" s="800" t="n">
        <v>0</v>
      </c>
      <c r="L127" s="800" t="n">
        <v>0</v>
      </c>
      <c r="M127" s="800" t="n">
        <v>0</v>
      </c>
      <c r="N127" s="800" t="n">
        <v>0</v>
      </c>
      <c r="O127" s="800" t="n">
        <v>0</v>
      </c>
      <c r="P127" s="800" t="n">
        <v>4</v>
      </c>
      <c r="Q127" s="800" t="n">
        <v>4</v>
      </c>
      <c r="R127" s="800" t="n">
        <v>4</v>
      </c>
      <c r="S127" s="800" t="n">
        <v>4</v>
      </c>
      <c r="T127" s="800" t="n"/>
      <c r="U127" s="800" t="n"/>
      <c r="V127" s="800" t="n">
        <v>4</v>
      </c>
      <c r="W127" s="800" t="n"/>
      <c r="X127" s="800" t="n">
        <v>0</v>
      </c>
      <c r="Y127" s="800" t="n">
        <v>0</v>
      </c>
      <c r="Z127" s="800" t="n">
        <v>0</v>
      </c>
      <c r="AA127" s="800" t="n">
        <v>0</v>
      </c>
      <c r="AB127" s="800" t="n">
        <v>0</v>
      </c>
      <c r="AC127" s="800" t="n">
        <v>0</v>
      </c>
      <c r="AD127" s="800" t="n">
        <v>0</v>
      </c>
      <c r="AE127" s="800" t="n">
        <v>0</v>
      </c>
      <c r="AF127" s="800" t="n">
        <v>0</v>
      </c>
      <c r="AG127" s="800" t="n">
        <v>0</v>
      </c>
      <c r="AH127" s="686" t="n"/>
      <c r="AI127" s="686" t="n"/>
      <c r="AJ127" s="686" t="n"/>
      <c r="AK127" s="686" t="n"/>
    </row>
    <row r="128" ht="14" customHeight="1" s="549">
      <c r="A128" s="681" t="n"/>
      <c r="B128" s="681" t="n"/>
      <c r="C128" s="712" t="inlineStr">
        <is>
          <t>9.</t>
        </is>
      </c>
      <c r="D128" s="688" t="inlineStr">
        <is>
          <t>Viajes Gestión Técnica</t>
        </is>
      </c>
      <c r="E128" s="792">
        <f>+E56</f>
        <v/>
      </c>
      <c r="F128" s="688" t="n"/>
      <c r="G128" s="681" t="n"/>
      <c r="H128" s="799" t="n">
        <v>0</v>
      </c>
      <c r="I128" s="799" t="n">
        <v>0</v>
      </c>
      <c r="J128" s="799" t="n">
        <v>0</v>
      </c>
      <c r="K128" s="799" t="n">
        <v>0</v>
      </c>
      <c r="L128" s="799" t="n">
        <v>0</v>
      </c>
      <c r="M128" s="799" t="n">
        <v>0</v>
      </c>
      <c r="N128" s="799" t="n">
        <v>0</v>
      </c>
      <c r="O128" s="799" t="n">
        <v>0</v>
      </c>
      <c r="P128" s="799" t="n">
        <v>0</v>
      </c>
      <c r="Q128" s="799" t="n">
        <v>0</v>
      </c>
      <c r="R128" s="799" t="n">
        <v>0</v>
      </c>
      <c r="S128" s="799" t="n">
        <v>0</v>
      </c>
      <c r="T128" s="799" t="n"/>
      <c r="U128" s="799" t="n"/>
      <c r="V128" s="799" t="n">
        <v>0</v>
      </c>
      <c r="W128" s="799" t="n"/>
      <c r="X128" s="799" t="n">
        <v>0</v>
      </c>
      <c r="Y128" s="799" t="n">
        <v>0</v>
      </c>
      <c r="Z128" s="799" t="n">
        <v>0</v>
      </c>
      <c r="AA128" s="799" t="n">
        <v>0</v>
      </c>
      <c r="AB128" s="799" t="n">
        <v>0</v>
      </c>
      <c r="AC128" s="799" t="n">
        <v>0</v>
      </c>
      <c r="AD128" s="799" t="n">
        <v>0</v>
      </c>
      <c r="AE128" s="799" t="n">
        <v>0</v>
      </c>
      <c r="AF128" s="799" t="n">
        <v>0</v>
      </c>
      <c r="AG128" s="799" t="n">
        <v>0</v>
      </c>
      <c r="AH128" s="681" t="n"/>
      <c r="AI128" s="681" t="n"/>
      <c r="AJ128" s="681" t="n"/>
      <c r="AK128" s="681" t="n"/>
    </row>
    <row r="129" ht="14" customHeight="1" s="549">
      <c r="A129" s="686" t="n"/>
      <c r="B129" s="686" t="inlineStr">
        <is>
          <t>Factura</t>
        </is>
      </c>
      <c r="C129" s="788" t="inlineStr">
        <is>
          <t>9.1</t>
        </is>
      </c>
      <c r="D129" s="789" t="inlineStr">
        <is>
          <t>Traslados de personal</t>
        </is>
      </c>
      <c r="E129" s="790">
        <f>+E57</f>
        <v/>
      </c>
      <c r="F129" s="789" t="n"/>
      <c r="G129" s="686" t="n"/>
      <c r="H129" s="800" t="n">
        <v>0</v>
      </c>
      <c r="I129" s="800" t="n">
        <v>0</v>
      </c>
      <c r="J129" s="800" t="n">
        <v>0</v>
      </c>
      <c r="K129" s="800" t="n">
        <v>0</v>
      </c>
      <c r="L129" s="800" t="n">
        <v>0</v>
      </c>
      <c r="M129" s="800" t="n">
        <v>0</v>
      </c>
      <c r="N129" s="800" t="n">
        <v>0</v>
      </c>
      <c r="O129" s="800" t="n">
        <v>0</v>
      </c>
      <c r="P129" s="800" t="n">
        <v>4</v>
      </c>
      <c r="Q129" s="800" t="n">
        <v>4</v>
      </c>
      <c r="R129" s="800" t="n">
        <v>4</v>
      </c>
      <c r="S129" s="800" t="n">
        <v>4</v>
      </c>
      <c r="T129" s="800" t="n"/>
      <c r="U129" s="800" t="n"/>
      <c r="V129" s="800" t="n">
        <v>4</v>
      </c>
      <c r="W129" s="800" t="n"/>
      <c r="X129" s="800" t="n">
        <v>0</v>
      </c>
      <c r="Y129" s="800" t="n">
        <v>0</v>
      </c>
      <c r="Z129" s="800" t="n">
        <v>0</v>
      </c>
      <c r="AA129" s="800" t="n">
        <v>0</v>
      </c>
      <c r="AB129" s="800" t="n">
        <v>0</v>
      </c>
      <c r="AC129" s="800" t="n">
        <v>0</v>
      </c>
      <c r="AD129" s="800" t="n">
        <v>0</v>
      </c>
      <c r="AE129" s="800" t="n">
        <v>0</v>
      </c>
      <c r="AF129" s="800" t="n">
        <v>0</v>
      </c>
      <c r="AG129" s="800" t="n">
        <v>0</v>
      </c>
      <c r="AH129" s="686" t="n"/>
      <c r="AI129" s="686" t="n"/>
      <c r="AJ129" s="686" t="n"/>
      <c r="AK129" s="686" t="n"/>
    </row>
    <row r="130" ht="14" customHeight="1" s="549">
      <c r="A130" s="681" t="n"/>
      <c r="B130" s="681" t="inlineStr">
        <is>
          <t xml:space="preserve">Factura o Boleta </t>
        </is>
      </c>
      <c r="C130" s="783" t="inlineStr">
        <is>
          <t>9.2</t>
        </is>
      </c>
      <c r="D130" s="784" t="inlineStr">
        <is>
          <t>Alojamiento</t>
        </is>
      </c>
      <c r="E130" s="785">
        <f>+E58</f>
        <v/>
      </c>
      <c r="F130" s="784" t="n"/>
      <c r="G130" s="681" t="n"/>
      <c r="H130" s="799" t="n">
        <v>0</v>
      </c>
      <c r="I130" s="799" t="n">
        <v>0</v>
      </c>
      <c r="J130" s="799" t="n">
        <v>0</v>
      </c>
      <c r="K130" s="799" t="n">
        <v>0</v>
      </c>
      <c r="L130" s="799" t="n">
        <v>0</v>
      </c>
      <c r="M130" s="799" t="n">
        <v>0</v>
      </c>
      <c r="N130" s="799" t="n">
        <v>0</v>
      </c>
      <c r="O130" s="799" t="n">
        <v>0</v>
      </c>
      <c r="P130" s="799" t="n">
        <v>10</v>
      </c>
      <c r="Q130" s="799" t="n">
        <v>10</v>
      </c>
      <c r="R130" s="799" t="n">
        <v>10</v>
      </c>
      <c r="S130" s="799" t="n">
        <v>10</v>
      </c>
      <c r="T130" s="799" t="n"/>
      <c r="U130" s="799" t="n"/>
      <c r="V130" s="799" t="n">
        <v>1</v>
      </c>
      <c r="W130" s="799" t="n"/>
      <c r="X130" s="799" t="n">
        <v>0</v>
      </c>
      <c r="Y130" s="799" t="n">
        <v>0</v>
      </c>
      <c r="Z130" s="799" t="n">
        <v>0</v>
      </c>
      <c r="AA130" s="799" t="n">
        <v>0</v>
      </c>
      <c r="AB130" s="799" t="n">
        <v>0</v>
      </c>
      <c r="AC130" s="799" t="n">
        <v>0</v>
      </c>
      <c r="AD130" s="799" t="n">
        <v>0</v>
      </c>
      <c r="AE130" s="799" t="n">
        <v>0</v>
      </c>
      <c r="AF130" s="799" t="n">
        <v>0</v>
      </c>
      <c r="AG130" s="799" t="n">
        <v>0</v>
      </c>
      <c r="AH130" s="681" t="n"/>
      <c r="AI130" s="681" t="n"/>
      <c r="AJ130" s="681" t="n"/>
      <c r="AK130" s="681" t="n"/>
    </row>
    <row r="131" ht="14" customHeight="1" s="549">
      <c r="A131" s="686" t="n"/>
      <c r="B131" s="686" t="inlineStr">
        <is>
          <t xml:space="preserve">Boleta </t>
        </is>
      </c>
      <c r="C131" s="788" t="inlineStr">
        <is>
          <t>9.3</t>
        </is>
      </c>
      <c r="D131" s="789" t="inlineStr">
        <is>
          <t>Alimentación</t>
        </is>
      </c>
      <c r="E131" s="790">
        <f>+E59</f>
        <v/>
      </c>
      <c r="F131" s="789" t="n"/>
      <c r="G131" s="686" t="n"/>
      <c r="H131" s="800" t="n">
        <v>0</v>
      </c>
      <c r="I131" s="800" t="n">
        <v>0</v>
      </c>
      <c r="J131" s="800" t="n">
        <v>0</v>
      </c>
      <c r="K131" s="800" t="n">
        <v>0</v>
      </c>
      <c r="L131" s="800" t="n">
        <v>0</v>
      </c>
      <c r="M131" s="800" t="n">
        <v>0</v>
      </c>
      <c r="N131" s="800" t="n">
        <v>0</v>
      </c>
      <c r="O131" s="800" t="n">
        <v>0</v>
      </c>
      <c r="P131" s="800" t="n">
        <v>10</v>
      </c>
      <c r="Q131" s="800" t="n">
        <v>10</v>
      </c>
      <c r="R131" s="800" t="n">
        <v>10</v>
      </c>
      <c r="S131" s="800" t="n">
        <v>10</v>
      </c>
      <c r="T131" s="800" t="n"/>
      <c r="U131" s="800" t="n"/>
      <c r="V131" s="800" t="n">
        <v>4</v>
      </c>
      <c r="W131" s="800" t="n"/>
      <c r="X131" s="800" t="n">
        <v>0</v>
      </c>
      <c r="Y131" s="800" t="n">
        <v>0</v>
      </c>
      <c r="Z131" s="800" t="n">
        <v>0</v>
      </c>
      <c r="AA131" s="800" t="n">
        <v>0</v>
      </c>
      <c r="AB131" s="800" t="n">
        <v>0</v>
      </c>
      <c r="AC131" s="800" t="n">
        <v>0</v>
      </c>
      <c r="AD131" s="800" t="n">
        <v>0</v>
      </c>
      <c r="AE131" s="800" t="n">
        <v>0</v>
      </c>
      <c r="AF131" s="800" t="n">
        <v>0</v>
      </c>
      <c r="AG131" s="800" t="n">
        <v>0</v>
      </c>
      <c r="AH131" s="686" t="n"/>
      <c r="AI131" s="686" t="n"/>
      <c r="AJ131" s="686" t="n"/>
      <c r="AK131" s="686" t="n"/>
    </row>
    <row r="132" ht="14" customHeight="1" s="549">
      <c r="A132" s="681" t="n"/>
      <c r="B132" s="681" t="inlineStr">
        <is>
          <t xml:space="preserve">Factura o Boleta </t>
        </is>
      </c>
      <c r="C132" s="783" t="inlineStr">
        <is>
          <t>9.4</t>
        </is>
      </c>
      <c r="D132" s="784" t="inlineStr">
        <is>
          <t>Combustible arriendo diario</t>
        </is>
      </c>
      <c r="E132" s="785">
        <f>+E60</f>
        <v/>
      </c>
      <c r="F132" s="784" t="n"/>
      <c r="G132" s="681" t="n"/>
      <c r="H132" s="799" t="n">
        <v>0</v>
      </c>
      <c r="I132" s="799" t="n">
        <v>0</v>
      </c>
      <c r="J132" s="799" t="n">
        <v>0</v>
      </c>
      <c r="K132" s="799" t="n">
        <v>0</v>
      </c>
      <c r="L132" s="799" t="n">
        <v>0</v>
      </c>
      <c r="M132" s="799" t="n">
        <v>0</v>
      </c>
      <c r="N132" s="799" t="n">
        <v>0</v>
      </c>
      <c r="O132" s="799" t="n">
        <v>0</v>
      </c>
      <c r="P132" s="799" t="n">
        <v>4</v>
      </c>
      <c r="Q132" s="799" t="n">
        <v>4</v>
      </c>
      <c r="R132" s="799" t="n">
        <v>4</v>
      </c>
      <c r="S132" s="799" t="n">
        <v>4</v>
      </c>
      <c r="T132" s="799" t="n"/>
      <c r="U132" s="799" t="n"/>
      <c r="V132" s="799" t="n">
        <v>4</v>
      </c>
      <c r="W132" s="799" t="n"/>
      <c r="X132" s="799" t="n">
        <v>0</v>
      </c>
      <c r="Y132" s="799" t="n">
        <v>0</v>
      </c>
      <c r="Z132" s="799" t="n">
        <v>0</v>
      </c>
      <c r="AA132" s="799" t="n">
        <v>0</v>
      </c>
      <c r="AB132" s="799" t="n">
        <v>0</v>
      </c>
      <c r="AC132" s="799" t="n">
        <v>0</v>
      </c>
      <c r="AD132" s="799" t="n">
        <v>0</v>
      </c>
      <c r="AE132" s="799" t="n">
        <v>0</v>
      </c>
      <c r="AF132" s="799" t="n">
        <v>0</v>
      </c>
      <c r="AG132" s="799" t="n">
        <v>0</v>
      </c>
      <c r="AH132" s="681" t="n"/>
      <c r="AI132" s="681" t="n"/>
      <c r="AJ132" s="681" t="n"/>
      <c r="AK132" s="681" t="n"/>
    </row>
    <row r="133" ht="14" customHeight="1" s="549">
      <c r="A133" s="686" t="n"/>
      <c r="B133" s="686" t="inlineStr">
        <is>
          <t xml:space="preserve">Factura o Boleta </t>
        </is>
      </c>
      <c r="C133" s="788" t="inlineStr">
        <is>
          <t>9.5</t>
        </is>
      </c>
      <c r="D133" s="789" t="inlineStr">
        <is>
          <t>Combustible arriendo mensual</t>
        </is>
      </c>
      <c r="E133" s="790">
        <f>+E61</f>
        <v/>
      </c>
      <c r="F133" s="789" t="n"/>
      <c r="G133" s="686" t="n"/>
      <c r="H133" s="800" t="n">
        <v>0</v>
      </c>
      <c r="I133" s="800" t="n">
        <v>0</v>
      </c>
      <c r="J133" s="800" t="n">
        <v>0</v>
      </c>
      <c r="K133" s="800" t="n">
        <v>0</v>
      </c>
      <c r="L133" s="800" t="n">
        <v>0</v>
      </c>
      <c r="M133" s="800" t="n">
        <v>0</v>
      </c>
      <c r="N133" s="800" t="n">
        <v>0</v>
      </c>
      <c r="O133" s="800" t="n">
        <v>0</v>
      </c>
      <c r="P133" s="800" t="n">
        <v>1</v>
      </c>
      <c r="Q133" s="800" t="n">
        <v>2</v>
      </c>
      <c r="R133" s="800" t="n">
        <v>2</v>
      </c>
      <c r="S133" s="800" t="n">
        <v>2</v>
      </c>
      <c r="T133" s="800" t="n"/>
      <c r="U133" s="800" t="n"/>
      <c r="V133" s="800" t="n">
        <v>2</v>
      </c>
      <c r="W133" s="800" t="n"/>
      <c r="X133" s="800" t="n">
        <v>0</v>
      </c>
      <c r="Y133" s="800" t="n">
        <v>0</v>
      </c>
      <c r="Z133" s="800" t="n">
        <v>0</v>
      </c>
      <c r="AA133" s="800" t="n">
        <v>0</v>
      </c>
      <c r="AB133" s="800" t="n">
        <v>0</v>
      </c>
      <c r="AC133" s="800" t="n">
        <v>0</v>
      </c>
      <c r="AD133" s="800" t="n">
        <v>0</v>
      </c>
      <c r="AE133" s="800" t="n">
        <v>0</v>
      </c>
      <c r="AF133" s="800" t="n">
        <v>0</v>
      </c>
      <c r="AG133" s="800" t="n">
        <v>0</v>
      </c>
      <c r="AH133" s="686" t="n"/>
      <c r="AI133" s="686" t="n"/>
      <c r="AJ133" s="686" t="n"/>
      <c r="AK133" s="686" t="n"/>
    </row>
    <row r="134" ht="14" customHeight="1" s="549">
      <c r="A134" s="681" t="n"/>
      <c r="B134" s="681" t="inlineStr">
        <is>
          <t xml:space="preserve">Boleta </t>
        </is>
      </c>
      <c r="C134" s="783" t="inlineStr">
        <is>
          <t>9.6</t>
        </is>
      </c>
      <c r="D134" s="784" t="inlineStr">
        <is>
          <t>Peajes</t>
        </is>
      </c>
      <c r="E134" s="785">
        <f>+E62</f>
        <v/>
      </c>
      <c r="F134" s="784" t="n"/>
      <c r="G134" s="681" t="n"/>
      <c r="H134" s="799" t="n">
        <v>0</v>
      </c>
      <c r="I134" s="799" t="n">
        <v>0</v>
      </c>
      <c r="J134" s="799" t="n">
        <v>0</v>
      </c>
      <c r="K134" s="799" t="n">
        <v>0</v>
      </c>
      <c r="L134" s="799" t="n">
        <v>0</v>
      </c>
      <c r="M134" s="799" t="n">
        <v>0</v>
      </c>
      <c r="N134" s="799" t="n">
        <v>0</v>
      </c>
      <c r="O134" s="799" t="n">
        <v>0</v>
      </c>
      <c r="P134" s="799" t="n">
        <v>4</v>
      </c>
      <c r="Q134" s="799" t="n">
        <v>4</v>
      </c>
      <c r="R134" s="799" t="n">
        <v>4</v>
      </c>
      <c r="S134" s="799" t="n">
        <v>4</v>
      </c>
      <c r="T134" s="799" t="n"/>
      <c r="U134" s="799" t="n"/>
      <c r="V134" s="799" t="n">
        <v>4</v>
      </c>
      <c r="W134" s="799" t="n"/>
      <c r="X134" s="799" t="n">
        <v>0</v>
      </c>
      <c r="Y134" s="799" t="n">
        <v>0</v>
      </c>
      <c r="Z134" s="799" t="n">
        <v>0</v>
      </c>
      <c r="AA134" s="799" t="n">
        <v>0</v>
      </c>
      <c r="AB134" s="799" t="n">
        <v>0</v>
      </c>
      <c r="AC134" s="799" t="n">
        <v>0</v>
      </c>
      <c r="AD134" s="799" t="n">
        <v>0</v>
      </c>
      <c r="AE134" s="799" t="n">
        <v>0</v>
      </c>
      <c r="AF134" s="799" t="n">
        <v>0</v>
      </c>
      <c r="AG134" s="799" t="n">
        <v>0</v>
      </c>
      <c r="AH134" s="681" t="n"/>
      <c r="AI134" s="681" t="n"/>
      <c r="AJ134" s="681" t="n"/>
      <c r="AK134" s="681" t="n"/>
    </row>
    <row r="135" ht="14" customHeight="1" s="549">
      <c r="A135" s="686" t="n"/>
      <c r="B135" s="686" t="n"/>
      <c r="C135" s="771" t="inlineStr">
        <is>
          <t>10.</t>
        </is>
      </c>
      <c r="D135" s="682" t="inlineStr">
        <is>
          <t xml:space="preserve">Gastos Varios </t>
        </is>
      </c>
      <c r="E135" s="780">
        <f>+E63</f>
        <v/>
      </c>
      <c r="F135" s="682" t="n"/>
      <c r="G135" s="686" t="n"/>
      <c r="H135" s="800" t="n">
        <v>0</v>
      </c>
      <c r="I135" s="800" t="n">
        <v>0</v>
      </c>
      <c r="J135" s="800" t="n">
        <v>0</v>
      </c>
      <c r="K135" s="800" t="n">
        <v>0</v>
      </c>
      <c r="L135" s="800" t="n">
        <v>0</v>
      </c>
      <c r="M135" s="800" t="n">
        <v>0</v>
      </c>
      <c r="N135" s="800" t="n">
        <v>0</v>
      </c>
      <c r="O135" s="800" t="n">
        <v>0</v>
      </c>
      <c r="P135" s="800" t="n">
        <v>0</v>
      </c>
      <c r="Q135" s="800" t="n">
        <v>0</v>
      </c>
      <c r="R135" s="800" t="n">
        <v>0</v>
      </c>
      <c r="S135" s="800" t="n">
        <v>0</v>
      </c>
      <c r="T135" s="800" t="n"/>
      <c r="U135" s="800" t="n"/>
      <c r="V135" s="800" t="n">
        <v>0</v>
      </c>
      <c r="W135" s="800" t="n">
        <v>0</v>
      </c>
      <c r="X135" s="800" t="n">
        <v>0</v>
      </c>
      <c r="Y135" s="800" t="n">
        <v>0</v>
      </c>
      <c r="Z135" s="800" t="n">
        <v>0</v>
      </c>
      <c r="AA135" s="800" t="n">
        <v>0</v>
      </c>
      <c r="AB135" s="800" t="n">
        <v>0</v>
      </c>
      <c r="AC135" s="800" t="n">
        <v>0</v>
      </c>
      <c r="AD135" s="800" t="n">
        <v>0</v>
      </c>
      <c r="AE135" s="800" t="n">
        <v>0</v>
      </c>
      <c r="AF135" s="800" t="n">
        <v>0</v>
      </c>
      <c r="AG135" s="800" t="n">
        <v>0</v>
      </c>
      <c r="AH135" s="686" t="n"/>
      <c r="AI135" s="686" t="n"/>
      <c r="AJ135" s="686" t="n"/>
      <c r="AK135" s="686" t="n"/>
    </row>
    <row r="136" ht="14" customHeight="1" s="549">
      <c r="A136" s="681" t="n"/>
      <c r="B136" s="681" t="inlineStr">
        <is>
          <t xml:space="preserve">Boleta </t>
        </is>
      </c>
      <c r="C136" s="783" t="inlineStr">
        <is>
          <t>10.1</t>
        </is>
      </c>
      <c r="D136" s="784" t="inlineStr">
        <is>
          <t xml:space="preserve">Compras de Equipos, EEPP, Otros </t>
        </is>
      </c>
      <c r="E136" s="785">
        <f>+E64</f>
        <v/>
      </c>
      <c r="F136" s="784" t="n"/>
      <c r="G136" s="681" t="n"/>
      <c r="H136" s="799" t="n">
        <v>0</v>
      </c>
      <c r="I136" s="799" t="n">
        <v>0</v>
      </c>
      <c r="J136" s="799" t="n">
        <v>0</v>
      </c>
      <c r="K136" s="799" t="n">
        <v>0</v>
      </c>
      <c r="L136" s="799" t="n">
        <v>0</v>
      </c>
      <c r="M136" s="799" t="n">
        <v>0</v>
      </c>
      <c r="N136" s="799" t="n">
        <v>0</v>
      </c>
      <c r="O136" s="799" t="n">
        <v>0</v>
      </c>
      <c r="P136" s="799" t="n">
        <v>1</v>
      </c>
      <c r="Q136" s="799" t="n">
        <v>0</v>
      </c>
      <c r="R136" s="799" t="n">
        <v>0</v>
      </c>
      <c r="S136" s="799" t="n">
        <v>0</v>
      </c>
      <c r="T136" s="799" t="n"/>
      <c r="U136" s="799" t="n"/>
      <c r="V136" s="799" t="n">
        <v>0</v>
      </c>
      <c r="W136" s="799" t="n">
        <v>0</v>
      </c>
      <c r="X136" s="799" t="n">
        <v>0</v>
      </c>
      <c r="Y136" s="799" t="n">
        <v>0</v>
      </c>
      <c r="Z136" s="799" t="n">
        <v>0</v>
      </c>
      <c r="AA136" s="799" t="n">
        <v>0</v>
      </c>
      <c r="AB136" s="799" t="n">
        <v>0</v>
      </c>
      <c r="AC136" s="799" t="n">
        <v>0</v>
      </c>
      <c r="AD136" s="799" t="n">
        <v>0</v>
      </c>
      <c r="AE136" s="799" t="n">
        <v>0</v>
      </c>
      <c r="AF136" s="799" t="n">
        <v>0</v>
      </c>
      <c r="AG136" s="799" t="n">
        <v>0</v>
      </c>
      <c r="AH136" s="681" t="n"/>
      <c r="AI136" s="681" t="n"/>
      <c r="AJ136" s="681" t="n"/>
      <c r="AK136" s="681" t="n"/>
    </row>
    <row r="137" ht="14" customHeight="1" s="549">
      <c r="A137" s="686" t="n"/>
      <c r="B137" s="686" t="inlineStr">
        <is>
          <t xml:space="preserve">Boleta </t>
        </is>
      </c>
      <c r="C137" s="788" t="inlineStr">
        <is>
          <t>10.2</t>
        </is>
      </c>
      <c r="D137" s="789" t="inlineStr">
        <is>
          <t>Mensajerias (Correo de Chile)</t>
        </is>
      </c>
      <c r="E137" s="790">
        <f>+E65</f>
        <v/>
      </c>
      <c r="F137" s="789" t="n"/>
      <c r="G137" s="686" t="n"/>
      <c r="H137" s="800" t="n">
        <v>0</v>
      </c>
      <c r="I137" s="800" t="n">
        <v>0</v>
      </c>
      <c r="J137" s="800" t="n">
        <v>0</v>
      </c>
      <c r="K137" s="800" t="n">
        <v>0</v>
      </c>
      <c r="L137" s="800" t="n">
        <v>0</v>
      </c>
      <c r="M137" s="800" t="n">
        <v>0</v>
      </c>
      <c r="N137" s="800" t="n">
        <v>0</v>
      </c>
      <c r="O137" s="800" t="n">
        <v>0</v>
      </c>
      <c r="P137" s="800" t="n">
        <v>0</v>
      </c>
      <c r="Q137" s="800" t="n">
        <v>1</v>
      </c>
      <c r="R137" s="800" t="n">
        <v>0</v>
      </c>
      <c r="S137" s="800" t="n">
        <v>0</v>
      </c>
      <c r="T137" s="800" t="n"/>
      <c r="U137" s="800" t="n"/>
      <c r="V137" s="800" t="n">
        <v>0</v>
      </c>
      <c r="W137" s="800" t="n">
        <v>0</v>
      </c>
      <c r="X137" s="800" t="n">
        <v>0</v>
      </c>
      <c r="Y137" s="800" t="n">
        <v>0</v>
      </c>
      <c r="Z137" s="800" t="n">
        <v>0</v>
      </c>
      <c r="AA137" s="800" t="n">
        <v>0</v>
      </c>
      <c r="AB137" s="800" t="n">
        <v>0</v>
      </c>
      <c r="AC137" s="800" t="n">
        <v>0</v>
      </c>
      <c r="AD137" s="800" t="n">
        <v>0</v>
      </c>
      <c r="AE137" s="800" t="n">
        <v>0</v>
      </c>
      <c r="AF137" s="800" t="n">
        <v>0</v>
      </c>
      <c r="AG137" s="800" t="n">
        <v>0</v>
      </c>
      <c r="AH137" s="686" t="n"/>
      <c r="AI137" s="686" t="n"/>
      <c r="AJ137" s="686" t="n"/>
      <c r="AK137" s="686" t="n"/>
    </row>
    <row r="138" ht="14" customHeight="1" s="549">
      <c r="A138" s="681" t="n"/>
      <c r="B138" s="681" t="inlineStr">
        <is>
          <t xml:space="preserve">Factura + Boleta </t>
        </is>
      </c>
      <c r="C138" s="783" t="inlineStr">
        <is>
          <t>10.3</t>
        </is>
      </c>
      <c r="D138" s="784" t="inlineStr">
        <is>
          <t>Impresión de manuales</t>
        </is>
      </c>
      <c r="E138" s="785">
        <f>+E66</f>
        <v/>
      </c>
      <c r="F138" s="784">
        <f>Supuestos!E2</f>
        <v/>
      </c>
      <c r="G138" s="681" t="n"/>
      <c r="H138" s="799" t="n">
        <v>0</v>
      </c>
      <c r="I138" s="799" t="n">
        <v>0</v>
      </c>
      <c r="J138" s="799" t="n">
        <v>0</v>
      </c>
      <c r="K138" s="799" t="n">
        <v>0</v>
      </c>
      <c r="L138" s="799" t="n">
        <v>0</v>
      </c>
      <c r="M138" s="799" t="n">
        <v>0</v>
      </c>
      <c r="N138" s="799" t="n">
        <v>0</v>
      </c>
      <c r="O138" s="799" t="n">
        <v>0</v>
      </c>
      <c r="P138" s="799" t="n">
        <v>0</v>
      </c>
      <c r="Q138" s="799">
        <f>F137</f>
        <v/>
      </c>
      <c r="R138" s="799" t="n">
        <v>0</v>
      </c>
      <c r="S138" s="799" t="n">
        <v>0</v>
      </c>
      <c r="T138" s="799" t="n"/>
      <c r="U138" s="799" t="n"/>
      <c r="V138" s="799" t="n">
        <v>0</v>
      </c>
      <c r="W138" s="799" t="n">
        <v>0</v>
      </c>
      <c r="X138" s="799" t="n">
        <v>0</v>
      </c>
      <c r="Y138" s="799" t="n">
        <v>0</v>
      </c>
      <c r="Z138" s="799" t="n">
        <v>0</v>
      </c>
      <c r="AA138" s="799" t="n">
        <v>0</v>
      </c>
      <c r="AB138" s="799" t="n">
        <v>0</v>
      </c>
      <c r="AC138" s="799" t="n">
        <v>0</v>
      </c>
      <c r="AD138" s="799" t="n">
        <v>0</v>
      </c>
      <c r="AE138" s="799" t="n">
        <v>0</v>
      </c>
      <c r="AF138" s="799" t="n">
        <v>0</v>
      </c>
      <c r="AG138" s="799" t="n">
        <v>0</v>
      </c>
      <c r="AH138" s="681" t="n"/>
      <c r="AI138" s="681" t="n"/>
      <c r="AJ138" s="681" t="n"/>
      <c r="AK138" s="681" t="n"/>
    </row>
    <row r="139" ht="14" customHeight="1" s="549">
      <c r="A139" s="686" t="n"/>
      <c r="B139" s="686" t="inlineStr">
        <is>
          <t xml:space="preserve">Factura + Boleta </t>
        </is>
      </c>
      <c r="C139" s="788" t="inlineStr">
        <is>
          <t>10.4</t>
        </is>
      </c>
      <c r="D139" s="789" t="inlineStr">
        <is>
          <t>Mantención y reparación de Vehículos</t>
        </is>
      </c>
      <c r="E139" s="790">
        <f>+E67</f>
        <v/>
      </c>
      <c r="F139" s="789" t="n"/>
      <c r="G139" s="686" t="n"/>
      <c r="H139" s="800" t="n">
        <v>0</v>
      </c>
      <c r="I139" s="800" t="n">
        <v>0</v>
      </c>
      <c r="J139" s="800" t="n">
        <v>0</v>
      </c>
      <c r="K139" s="800" t="n">
        <v>0</v>
      </c>
      <c r="L139" s="800" t="n">
        <v>0</v>
      </c>
      <c r="M139" s="800" t="n">
        <v>0</v>
      </c>
      <c r="N139" s="800" t="n">
        <v>0</v>
      </c>
      <c r="O139" s="800" t="n">
        <v>0</v>
      </c>
      <c r="P139" s="800" t="n">
        <v>0</v>
      </c>
      <c r="Q139" s="800" t="n">
        <v>0</v>
      </c>
      <c r="R139" s="800" t="n">
        <v>0</v>
      </c>
      <c r="S139" s="800" t="n">
        <v>0</v>
      </c>
      <c r="T139" s="800" t="n"/>
      <c r="U139" s="800" t="n"/>
      <c r="V139" s="800" t="n">
        <v>0</v>
      </c>
      <c r="W139" s="800" t="n">
        <v>0</v>
      </c>
      <c r="X139" s="800" t="n">
        <v>0</v>
      </c>
      <c r="Y139" s="800" t="n">
        <v>0</v>
      </c>
      <c r="Z139" s="800" t="n">
        <v>0</v>
      </c>
      <c r="AA139" s="800" t="n">
        <v>0</v>
      </c>
      <c r="AB139" s="800" t="n">
        <v>0</v>
      </c>
      <c r="AC139" s="800" t="n">
        <v>0</v>
      </c>
      <c r="AD139" s="800" t="n">
        <v>0</v>
      </c>
      <c r="AE139" s="800" t="n">
        <v>0</v>
      </c>
      <c r="AF139" s="800" t="n">
        <v>0</v>
      </c>
      <c r="AG139" s="800" t="n">
        <v>0</v>
      </c>
      <c r="AH139" s="686" t="n"/>
      <c r="AI139" s="686" t="n"/>
      <c r="AJ139" s="686" t="n"/>
      <c r="AK139" s="686" t="n"/>
    </row>
    <row r="140" ht="14" customHeight="1" s="549">
      <c r="A140" s="681" t="n"/>
      <c r="B140" s="681" t="inlineStr">
        <is>
          <t xml:space="preserve">Boleta </t>
        </is>
      </c>
      <c r="C140" s="783" t="inlineStr">
        <is>
          <t>10.5</t>
        </is>
      </c>
      <c r="D140" s="784" t="inlineStr">
        <is>
          <t xml:space="preserve">Otros varios </t>
        </is>
      </c>
      <c r="E140" s="785">
        <f>+E68</f>
        <v/>
      </c>
      <c r="F140" s="784" t="n"/>
      <c r="G140" s="681" t="n"/>
      <c r="H140" s="799" t="n">
        <v>0</v>
      </c>
      <c r="I140" s="799" t="n">
        <v>0</v>
      </c>
      <c r="J140" s="799" t="n">
        <v>0</v>
      </c>
      <c r="K140" s="799" t="n">
        <v>0</v>
      </c>
      <c r="L140" s="799" t="n">
        <v>0</v>
      </c>
      <c r="M140" s="799" t="n">
        <v>0</v>
      </c>
      <c r="N140" s="799" t="n">
        <v>0</v>
      </c>
      <c r="O140" s="799" t="n">
        <v>0</v>
      </c>
      <c r="P140" s="799" t="n">
        <v>0</v>
      </c>
      <c r="Q140" s="799" t="n">
        <v>0</v>
      </c>
      <c r="R140" s="799" t="n">
        <v>0</v>
      </c>
      <c r="S140" s="799">
        <f>Supuestos!E2*12*3</f>
        <v/>
      </c>
      <c r="T140" s="799" t="n"/>
      <c r="U140" s="799" t="n"/>
      <c r="V140" s="799" t="n">
        <v>0</v>
      </c>
      <c r="W140" s="799" t="n">
        <v>0</v>
      </c>
      <c r="X140" s="799" t="n">
        <v>0</v>
      </c>
      <c r="Y140" s="799" t="n">
        <v>0</v>
      </c>
      <c r="Z140" s="799" t="n">
        <v>0</v>
      </c>
      <c r="AA140" s="799" t="n">
        <v>0</v>
      </c>
      <c r="AB140" s="799" t="n">
        <v>0</v>
      </c>
      <c r="AC140" s="799" t="n">
        <v>0</v>
      </c>
      <c r="AD140" s="799" t="n">
        <v>0</v>
      </c>
      <c r="AE140" s="799" t="n">
        <v>0</v>
      </c>
      <c r="AF140" s="799" t="n">
        <v>0</v>
      </c>
      <c r="AG140" s="799" t="n">
        <v>0</v>
      </c>
      <c r="AH140" s="681" t="n"/>
      <c r="AI140" s="681" t="n"/>
      <c r="AJ140" s="681" t="n"/>
      <c r="AK140" s="681" t="n"/>
    </row>
    <row r="141"/>
    <row r="142"/>
    <row r="143"/>
    <row r="144" ht="11.25" customHeight="1" s="549"/>
    <row r="145" ht="14" customHeight="1" s="549">
      <c r="A145" s="686" t="n"/>
      <c r="B145" s="686" t="n"/>
      <c r="C145" s="686" t="n"/>
      <c r="D145" s="686" t="inlineStr">
        <is>
          <t>Factura</t>
        </is>
      </c>
      <c r="E145" s="686" t="n"/>
      <c r="F145" s="686" t="n"/>
      <c r="G145" s="686" t="n"/>
      <c r="H145" s="686" t="n"/>
      <c r="I145" s="686" t="n"/>
      <c r="J145" s="686" t="n"/>
      <c r="K145" s="686" t="n"/>
      <c r="L145" s="686" t="n"/>
      <c r="M145" s="686" t="n"/>
      <c r="N145" s="686" t="n"/>
      <c r="O145" s="686" t="n"/>
      <c r="P145" s="686" t="n"/>
      <c r="Q145" s="686" t="n"/>
      <c r="R145" s="686" t="n"/>
      <c r="S145" s="686" t="n"/>
      <c r="T145" s="686" t="n"/>
      <c r="U145" s="686" t="n"/>
      <c r="V145" s="686" t="n"/>
      <c r="W145" s="686" t="n"/>
      <c r="X145" s="686" t="n"/>
      <c r="Y145" s="686" t="n"/>
      <c r="Z145" s="686" t="n"/>
      <c r="AA145" s="686" t="n"/>
      <c r="AB145" s="686" t="n"/>
      <c r="AC145" s="686" t="n"/>
      <c r="AD145" s="686" t="n"/>
      <c r="AE145" s="686" t="n"/>
      <c r="AF145" s="686" t="n"/>
      <c r="AG145" s="686" t="n"/>
      <c r="AH145" s="686" t="n"/>
      <c r="AI145" s="686" t="n"/>
      <c r="AJ145" s="686" t="n"/>
      <c r="AK145" s="686" t="n"/>
    </row>
    <row r="146" ht="14" customHeight="1" s="549">
      <c r="A146" s="681" t="n"/>
      <c r="B146" s="681" t="n"/>
      <c r="C146" s="681" t="n"/>
      <c r="D146" s="681" t="inlineStr">
        <is>
          <t xml:space="preserve">Boleta </t>
        </is>
      </c>
      <c r="E146" s="681" t="n"/>
      <c r="F146" s="681" t="n"/>
      <c r="G146" s="681" t="n"/>
      <c r="H146" s="681" t="n"/>
      <c r="I146" s="681" t="n"/>
      <c r="J146" s="681" t="n"/>
      <c r="K146" s="681" t="n"/>
      <c r="L146" s="681" t="n"/>
      <c r="M146" s="681" t="n"/>
      <c r="N146" s="681" t="n"/>
      <c r="O146" s="681" t="n"/>
      <c r="P146" s="681" t="n"/>
      <c r="Q146" s="681" t="n"/>
      <c r="R146" s="681" t="n"/>
      <c r="S146" s="681" t="n"/>
      <c r="T146" s="681" t="n"/>
      <c r="U146" s="681" t="n"/>
      <c r="V146" s="681" t="n"/>
      <c r="W146" s="681" t="n"/>
      <c r="X146" s="681" t="n"/>
      <c r="Y146" s="681" t="n"/>
      <c r="Z146" s="681" t="n"/>
      <c r="AA146" s="681" t="n"/>
      <c r="AB146" s="681" t="n"/>
      <c r="AC146" s="681" t="n"/>
      <c r="AD146" s="681" t="n"/>
      <c r="AE146" s="681" t="n"/>
      <c r="AF146" s="681" t="n"/>
      <c r="AG146" s="681" t="n"/>
      <c r="AH146" s="681" t="n"/>
      <c r="AI146" s="681" t="n"/>
      <c r="AJ146" s="681" t="n"/>
      <c r="AK146" s="681" t="n"/>
    </row>
    <row r="147" ht="14" customHeight="1" s="549">
      <c r="A147" s="686" t="n"/>
      <c r="B147" s="686" t="n"/>
      <c r="C147" s="686" t="n"/>
      <c r="D147" s="686" t="inlineStr">
        <is>
          <t>B. Honorarios</t>
        </is>
      </c>
      <c r="E147" s="686" t="n"/>
      <c r="F147" s="686" t="n"/>
      <c r="G147" s="686" t="n"/>
      <c r="H147" s="686" t="n"/>
      <c r="I147" s="686" t="n"/>
      <c r="J147" s="686" t="n"/>
      <c r="K147" s="686" t="n"/>
      <c r="L147" s="686" t="n"/>
      <c r="M147" s="686" t="n"/>
      <c r="N147" s="686" t="n"/>
      <c r="O147" s="686" t="n"/>
      <c r="P147" s="686" t="n"/>
      <c r="Q147" s="686" t="n"/>
      <c r="R147" s="686" t="n"/>
      <c r="S147" s="686" t="n"/>
      <c r="T147" s="686" t="n"/>
      <c r="U147" s="686" t="n"/>
      <c r="V147" s="686" t="n"/>
      <c r="W147" s="686" t="n"/>
      <c r="X147" s="686" t="n"/>
      <c r="Y147" s="686" t="n"/>
      <c r="Z147" s="686" t="n"/>
      <c r="AA147" s="686" t="n"/>
      <c r="AB147" s="686" t="n"/>
      <c r="AC147" s="686" t="n"/>
      <c r="AD147" s="686" t="n"/>
      <c r="AE147" s="686" t="n"/>
      <c r="AF147" s="686" t="n"/>
      <c r="AG147" s="686" t="n"/>
      <c r="AH147" s="686" t="n"/>
      <c r="AI147" s="686" t="n"/>
      <c r="AJ147" s="686" t="n"/>
      <c r="AK147" s="686" t="n"/>
    </row>
    <row r="148" ht="14" customHeight="1" s="549">
      <c r="A148" s="681" t="n"/>
      <c r="B148" s="681" t="n"/>
      <c r="C148" s="681" t="n"/>
      <c r="D148" s="681" t="inlineStr">
        <is>
          <t xml:space="preserve">Factura o Boleta </t>
        </is>
      </c>
      <c r="E148" s="681" t="n"/>
      <c r="F148" s="681" t="n"/>
      <c r="G148" s="681" t="n"/>
      <c r="H148" s="681" t="n"/>
      <c r="I148" s="681" t="n"/>
      <c r="J148" s="681" t="n"/>
      <c r="K148" s="681" t="n"/>
      <c r="L148" s="681" t="n"/>
      <c r="M148" s="681" t="n"/>
      <c r="N148" s="681" t="n"/>
      <c r="O148" s="681" t="n"/>
      <c r="P148" s="681" t="n"/>
      <c r="Q148" s="681" t="n"/>
      <c r="R148" s="681" t="n"/>
      <c r="S148" s="681" t="n"/>
      <c r="T148" s="681" t="n"/>
      <c r="U148" s="681" t="n"/>
      <c r="V148" s="681" t="n"/>
      <c r="W148" s="681" t="n"/>
      <c r="X148" s="681" t="n"/>
      <c r="Y148" s="681" t="n"/>
      <c r="Z148" s="681" t="n"/>
      <c r="AA148" s="681" t="n"/>
      <c r="AB148" s="681" t="n"/>
      <c r="AC148" s="681" t="n"/>
      <c r="AD148" s="681" t="n"/>
      <c r="AE148" s="681" t="n"/>
      <c r="AF148" s="681" t="n"/>
      <c r="AG148" s="681" t="n"/>
      <c r="AH148" s="681" t="n"/>
      <c r="AI148" s="681" t="n"/>
      <c r="AJ148" s="681" t="n"/>
      <c r="AK148" s="681" t="n"/>
    </row>
    <row r="149" ht="14" customHeight="1" s="549">
      <c r="A149" s="686" t="n"/>
      <c r="B149" s="686" t="n"/>
      <c r="C149" s="686" t="n"/>
      <c r="D149" s="686" t="inlineStr">
        <is>
          <t>Costo Empresa</t>
        </is>
      </c>
      <c r="E149" s="686" t="n"/>
      <c r="F149" s="686" t="n"/>
      <c r="G149" s="686" t="n"/>
      <c r="H149" s="686" t="n"/>
      <c r="I149" s="686" t="n"/>
      <c r="J149" s="686" t="n"/>
      <c r="K149" s="686" t="n"/>
      <c r="L149" s="686" t="n"/>
      <c r="M149" s="686" t="n"/>
      <c r="N149" s="686" t="n"/>
      <c r="O149" s="686" t="n"/>
      <c r="P149" s="686" t="n"/>
      <c r="Q149" s="686" t="n"/>
      <c r="R149" s="686" t="n"/>
      <c r="S149" s="686" t="n"/>
      <c r="T149" s="686" t="n"/>
      <c r="U149" s="686" t="n"/>
      <c r="V149" s="686" t="n"/>
      <c r="W149" s="686" t="n"/>
      <c r="X149" s="686" t="n"/>
      <c r="Y149" s="686" t="n"/>
      <c r="Z149" s="686" t="n"/>
      <c r="AA149" s="686" t="n"/>
      <c r="AB149" s="686" t="n"/>
      <c r="AC149" s="686" t="n"/>
      <c r="AD149" s="686" t="n"/>
      <c r="AE149" s="686" t="n"/>
      <c r="AF149" s="686" t="n"/>
      <c r="AG149" s="686" t="n"/>
      <c r="AH149" s="686" t="n"/>
      <c r="AI149" s="686" t="n"/>
      <c r="AJ149" s="686" t="n"/>
      <c r="AK149" s="686" t="n"/>
    </row>
  </sheetData>
  <mergeCells count="1">
    <mergeCell ref="A1:AK1"/>
  </mergeCells>
  <conditionalFormatting sqref="H6:AH15 H24:AH31 H42:AH42 H44:AH45 H48:AH48 AJ6:AJ15 AJ24:AJ31 AJ42 AJ44:AJ45 AJ48">
    <cfRule type="cellIs" priority="19" operator="greaterThan" dxfId="0">
      <formula>0</formula>
    </cfRule>
  </conditionalFormatting>
  <conditionalFormatting sqref="H17:AH19">
    <cfRule type="cellIs" priority="18" operator="greaterThan" dxfId="0">
      <formula>0</formula>
    </cfRule>
  </conditionalFormatting>
  <conditionalFormatting sqref="H21:AH22">
    <cfRule type="cellIs" priority="17" operator="greaterThan" dxfId="0">
      <formula>0</formula>
    </cfRule>
  </conditionalFormatting>
  <conditionalFormatting sqref="H34:AH35">
    <cfRule type="cellIs" priority="16" operator="greaterThan" dxfId="0">
      <formula>0</formula>
    </cfRule>
  </conditionalFormatting>
  <conditionalFormatting sqref="H37:AH40">
    <cfRule type="cellIs" priority="15" operator="greaterThan" dxfId="0">
      <formula>0</formula>
    </cfRule>
  </conditionalFormatting>
  <conditionalFormatting sqref="H50:AH55">
    <cfRule type="cellIs" priority="13" operator="greaterThan" dxfId="0">
      <formula>0</formula>
    </cfRule>
  </conditionalFormatting>
  <conditionalFormatting sqref="H57:AH62">
    <cfRule type="cellIs" priority="12" operator="greaterThan" dxfId="0">
      <formula>0</formula>
    </cfRule>
  </conditionalFormatting>
  <conditionalFormatting sqref="H64:AH68">
    <cfRule type="cellIs" priority="11" operator="greaterThan" dxfId="0">
      <formula>0</formula>
    </cfRule>
  </conditionalFormatting>
  <conditionalFormatting sqref="H76:AH102 H104:AH113 H115:AH116 H119:AH139">
    <cfRule type="expression" priority="20" dxfId="4">
      <formula>H76&gt;0</formula>
    </cfRule>
  </conditionalFormatting>
  <conditionalFormatting sqref="AJ17:AJ19">
    <cfRule type="cellIs" priority="9" operator="greaterThan" dxfId="0">
      <formula>0</formula>
    </cfRule>
  </conditionalFormatting>
  <conditionalFormatting sqref="AJ21:AJ22">
    <cfRule type="cellIs" priority="8" operator="greaterThan" dxfId="0">
      <formula>0</formula>
    </cfRule>
  </conditionalFormatting>
  <conditionalFormatting sqref="AJ34:AJ35">
    <cfRule type="cellIs" priority="7" operator="greaterThan" dxfId="0">
      <formula>0</formula>
    </cfRule>
  </conditionalFormatting>
  <conditionalFormatting sqref="AJ37:AJ40">
    <cfRule type="cellIs" priority="6" operator="greaterThan" dxfId="0">
      <formula>0</formula>
    </cfRule>
  </conditionalFormatting>
  <conditionalFormatting sqref="AJ50:AJ55">
    <cfRule type="cellIs" priority="4" operator="greaterThan" dxfId="0">
      <formula>0</formula>
    </cfRule>
  </conditionalFormatting>
  <conditionalFormatting sqref="AJ57:AJ62">
    <cfRule type="cellIs" priority="3" operator="greaterThan" dxfId="0">
      <formula>0</formula>
    </cfRule>
  </conditionalFormatting>
  <conditionalFormatting sqref="AJ64:AJ68">
    <cfRule type="cellIs" priority="2" operator="greaterThan" dxfId="0">
      <formula>0</formula>
    </cfRule>
  </conditionalFormatting>
  <dataValidations count="2">
    <dataValidation sqref="B6:B31 B33:B42 B44:B45 B48:B68 B77:B102 B104:B113 B115:B116 B119:B139" showDropDown="0" showInputMessage="1" showErrorMessage="1" allowBlank="1" type="list">
      <formula1>$D$144:$D$148</formula1>
      <formula2>0</formula2>
    </dataValidation>
    <dataValidation sqref="B5 B76" showDropDown="0" showInputMessage="1" showErrorMessage="1" allowBlank="1" type="list">
      <formula1>$D$77:$D$87</formula1>
      <formula2>0</formula2>
    </dataValidation>
  </dataValidation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9.xml><?xml version="1.0" encoding="utf-8"?>
<worksheet xmlns="http://schemas.openxmlformats.org/spreadsheetml/2006/main">
  <sheetPr>
    <tabColor rgb="FFC00000"/>
    <outlinePr summaryBelow="1" summaryRight="1"/>
    <pageSetUpPr/>
  </sheetPr>
  <dimension ref="A1:H104"/>
  <sheetViews>
    <sheetView showGridLines="0" zoomScaleNormal="100" workbookViewId="0">
      <pane xSplit="1" ySplit="3" topLeftCell="B67" activePane="bottomRight" state="frozen"/>
      <selection pane="topRight" activeCell="B1" sqref="B1"/>
      <selection pane="bottomLeft" activeCell="A67" sqref="A67"/>
      <selection pane="bottomRight" activeCell="W18" sqref="W18"/>
    </sheetView>
  </sheetViews>
  <sheetFormatPr baseColWidth="10" defaultColWidth="9.140625" defaultRowHeight="15"/>
  <cols>
    <col width="47" customWidth="1" style="650" min="1" max="1"/>
    <col width="47" customWidth="1" style="650" min="2" max="2"/>
    <col width="47" customWidth="1" style="650" min="3" max="3"/>
    <col width="47" customWidth="1" style="650" min="4" max="4"/>
    <col width="47" customWidth="1" style="650" min="5" max="5"/>
    <col width="47" customWidth="1" style="650" min="6" max="6"/>
    <col width="25" customWidth="1" style="650" min="7" max="7"/>
    <col width="47" customWidth="1" style="650" min="8" max="8"/>
    <col width="9.140625" customWidth="1" style="650" min="9" max="10"/>
    <col width="9.140625" customWidth="1" style="650" min="11" max="16384"/>
  </cols>
  <sheetData>
    <row r="1" ht="20" customHeight="1" s="549">
      <c r="A1" s="746" t="inlineStr">
        <is>
          <t>GUÍA MAESTRA — Luz en Casa GORE | Modelo Financiero de Simulación</t>
        </is>
      </c>
    </row>
    <row r="2" ht="15" customHeight="1" s="549">
      <c r="A2" s="652" t="inlineStr">
        <is>
          <t>Documento único de referencia: totales de control + arquitectura del modelo + reglas de edición</t>
        </is>
      </c>
    </row>
    <row r="3"/>
    <row r="4" ht="15" customHeight="1" s="549">
      <c r="A4" s="649" t="inlineStr">
        <is>
          <t>1.  TOTALES DE CONTROL</t>
        </is>
      </c>
    </row>
    <row r="5" ht="24" customHeight="1" s="549">
      <c r="A5" s="747" t="n"/>
      <c r="B5" s="747" t="inlineStr">
        <is>
          <t>Concepto</t>
        </is>
      </c>
      <c r="C5" s="747" t="inlineStr">
        <is>
          <t>Valor Total CLP</t>
        </is>
      </c>
      <c r="D5" s="747" t="inlineStr">
        <is>
          <t>Valor Unitario</t>
        </is>
      </c>
      <c r="E5" s="747" t="inlineStr">
        <is>
          <t>Referencia</t>
        </is>
      </c>
      <c r="F5" s="747" t="inlineStr">
        <is>
          <t>Notas</t>
        </is>
      </c>
      <c r="G5" s="747" t="n"/>
      <c r="H5" s="747" t="n"/>
    </row>
    <row r="6" ht="14" customHeight="1" s="549">
      <c r="A6" s="681" t="n"/>
      <c r="B6" s="688" t="inlineStr">
        <is>
          <t>Analítica (NETO)</t>
        </is>
      </c>
      <c r="C6" s="815">
        <f>+Analitica!AG36</f>
        <v/>
      </c>
      <c r="D6" s="815">
        <f>+C6/$C$9</f>
        <v/>
      </c>
      <c r="E6" s="688" t="inlineStr">
        <is>
          <t>D1) Resultado Proyectos Bruto → hoja Analítica</t>
        </is>
      </c>
      <c r="F6" s="688" t="inlineStr">
        <is>
          <t>Suma de Flujo Neto por código corporativo</t>
        </is>
      </c>
      <c r="G6" s="681" t="n"/>
      <c r="H6" s="681" t="n"/>
    </row>
    <row r="7" ht="14" customHeight="1" s="549">
      <c r="A7" s="686" t="n"/>
      <c r="B7" s="682" t="inlineStr">
        <is>
          <t>Cashflow (BRUTO)</t>
        </is>
      </c>
      <c r="C7" s="816">
        <f>+Cashflow!AE19</f>
        <v/>
      </c>
      <c r="D7" s="816">
        <f>+C7/$C$9</f>
        <v/>
      </c>
      <c r="E7" s="682" t="inlineStr">
        <is>
          <t>Cashflow LOC → hoja Cashflow</t>
        </is>
      </c>
      <c r="F7" s="682" t="inlineStr">
        <is>
          <t>Suma de Flujo Bruto con IVA incluido</t>
        </is>
      </c>
      <c r="G7" s="686" t="n"/>
      <c r="H7" s="686" t="n"/>
    </row>
    <row r="8" ht="14" customHeight="1" s="549">
      <c r="A8" s="681" t="n"/>
      <c r="B8" s="688" t="inlineStr">
        <is>
          <t>Ratio Bruto/Neto</t>
        </is>
      </c>
      <c r="C8" s="733" t="inlineStr">
        <is>
          <t>≈ 1.144×</t>
        </is>
      </c>
      <c r="D8" s="733" t="inlineStr">
        <is>
          <t>—</t>
        </is>
      </c>
      <c r="E8" s="688" t="inlineStr">
        <is>
          <t>—</t>
        </is>
      </c>
      <c r="F8" s="688" t="inlineStr">
        <is>
          <t>~14.4% diferencia = IVA 19% sobre ítems afectos</t>
        </is>
      </c>
      <c r="G8" s="681" t="n"/>
      <c r="H8" s="681" t="n"/>
    </row>
    <row r="9" ht="14" customHeight="1" s="549">
      <c r="A9" s="686" t="n"/>
      <c r="B9" s="682" t="inlineStr">
        <is>
          <t>Instalaciones</t>
        </is>
      </c>
      <c r="C9" s="756" t="n">
        <v>60</v>
      </c>
      <c r="D9" s="756" t="inlineStr">
        <is>
          <t>—</t>
        </is>
      </c>
      <c r="E9" s="682" t="inlineStr">
        <is>
          <t>Supuestos!E2</t>
        </is>
      </c>
      <c r="F9" s="682" t="inlineStr">
        <is>
          <t>Afecta cantidades: ítems 1.1-1.3, 2.1-2.2, 10.3</t>
        </is>
      </c>
      <c r="G9" s="686" t="n"/>
      <c r="H9" s="686" t="n"/>
    </row>
    <row r="10" ht="14" customHeight="1" s="549">
      <c r="A10" s="681" t="n"/>
      <c r="B10" s="688" t="inlineStr">
        <is>
          <t>Cuadrillas</t>
        </is>
      </c>
      <c r="C10" s="733" t="n">
        <v>3</v>
      </c>
      <c r="D10" s="733" t="inlineStr">
        <is>
          <t>—</t>
        </is>
      </c>
      <c r="E10" s="688" t="inlineStr">
        <is>
          <t>Supuestos!E4</t>
        </is>
      </c>
      <c r="F10" s="688" t="inlineStr">
        <is>
          <t>Afecta cantidad de Herramientas (ítem 2.3)</t>
        </is>
      </c>
      <c r="G10" s="681" t="n"/>
      <c r="H10" s="681" t="n"/>
    </row>
    <row r="11" ht="14" customHeight="1" s="549">
      <c r="A11" s="686" t="n"/>
      <c r="B11" s="682" t="inlineStr">
        <is>
          <t>TC USD/CLP</t>
        </is>
      </c>
      <c r="C11" s="817" t="n">
        <v>950</v>
      </c>
      <c r="D11" s="756" t="inlineStr">
        <is>
          <t>—</t>
        </is>
      </c>
      <c r="E11" s="682" t="inlineStr">
        <is>
          <t>Supuestos!E3</t>
        </is>
      </c>
      <c r="F11" s="682" t="inlineStr">
        <is>
          <t>Afecta conversión equipos importados (ítem 1.x)</t>
        </is>
      </c>
      <c r="G11" s="686" t="n"/>
      <c r="H11" s="686" t="n"/>
    </row>
    <row r="12"/>
    <row r="13" ht="14" customHeight="1" s="549">
      <c r="A13" s="694" t="inlineStr">
        <is>
          <t>2.  MAPA DE PESTAÑAS</t>
        </is>
      </c>
      <c r="B13" s="681" t="n"/>
      <c r="C13" s="681" t="n"/>
      <c r="D13" s="681" t="n"/>
      <c r="E13" s="681" t="n"/>
      <c r="F13" s="681" t="n"/>
      <c r="G13" s="681" t="n"/>
      <c r="H13" s="681" t="n"/>
    </row>
    <row r="14" ht="14" customHeight="1" s="549">
      <c r="A14" s="686" t="n"/>
      <c r="B14" s="756" t="inlineStr">
        <is>
          <t>Pestaña</t>
        </is>
      </c>
      <c r="C14" s="756" t="inlineStr">
        <is>
          <t>Rol</t>
        </is>
      </c>
      <c r="D14" s="756" t="inlineStr">
        <is>
          <t>Tipo</t>
        </is>
      </c>
      <c r="E14" s="756" t="inlineStr">
        <is>
          <t>¿Editable?</t>
        </is>
      </c>
      <c r="F14" s="756" t="inlineStr">
        <is>
          <t>Depende de</t>
        </is>
      </c>
      <c r="G14" s="756" t="inlineStr">
        <is>
          <t>Alimenta a</t>
        </is>
      </c>
      <c r="H14" s="756" t="inlineStr">
        <is>
          <t>Descripción</t>
        </is>
      </c>
    </row>
    <row r="15" ht="14" customHeight="1" s="549">
      <c r="A15" s="681" t="n"/>
      <c r="B15" s="688" t="inlineStr">
        <is>
          <t>Supuestos</t>
        </is>
      </c>
      <c r="C15" s="688" t="inlineStr">
        <is>
          <t>Fuente única de datos</t>
        </is>
      </c>
      <c r="D15" s="733" t="inlineStr">
        <is>
          <t>INPUT</t>
        </is>
      </c>
      <c r="E15" s="733" t="inlineStr">
        <is>
          <t>✅ SÍ</t>
        </is>
      </c>
      <c r="F15" s="688" t="inlineStr">
        <is>
          <t>—</t>
        </is>
      </c>
      <c r="G15" s="689" t="inlineStr">
        <is>
          <t>Flujo Neto
Flujo Bruto</t>
        </is>
      </c>
      <c r="H15" s="688" t="inlineStr">
        <is>
          <t>Precios unitarios, cantidades, TC, cuadrillas, y ahora cols R/S con código analítico y CF.</t>
        </is>
      </c>
    </row>
    <row r="16" ht="14" customHeight="1" s="549">
      <c r="A16" s="686" t="n"/>
      <c r="B16" s="682" t="inlineStr">
        <is>
          <t>Flujo Neto</t>
        </is>
      </c>
      <c r="C16" s="682" t="inlineStr">
        <is>
          <t>Motor cálculo neto</t>
        </is>
      </c>
      <c r="D16" s="756" t="inlineStr">
        <is>
          <t>CÁLCULO</t>
        </is>
      </c>
      <c r="E16" s="756" t="inlineStr">
        <is>
          <t>⛔ NO</t>
        </is>
      </c>
      <c r="F16" s="682" t="inlineStr">
        <is>
          <t>Supuestos</t>
        </is>
      </c>
      <c r="G16" s="682" t="inlineStr">
        <is>
          <t>Analítica</t>
        </is>
      </c>
      <c r="H16" s="682" t="inlineStr">
        <is>
          <t>Valor unitario NETO × factor mensual. Tabla inferior: factores de distribución por mes.</t>
        </is>
      </c>
    </row>
    <row r="17" ht="14" customHeight="1" s="549">
      <c r="A17" s="681" t="n"/>
      <c r="B17" s="688" t="inlineStr">
        <is>
          <t>Flujo Bruto</t>
        </is>
      </c>
      <c r="C17" s="688" t="inlineStr">
        <is>
          <t>Motor cálculo bruto</t>
        </is>
      </c>
      <c r="D17" s="733" t="inlineStr">
        <is>
          <t>CÁLCULO</t>
        </is>
      </c>
      <c r="E17" s="733" t="inlineStr">
        <is>
          <t>⛔ NO</t>
        </is>
      </c>
      <c r="F17" s="688" t="inlineStr">
        <is>
          <t>Supuestos</t>
        </is>
      </c>
      <c r="G17" s="688" t="inlineStr">
        <is>
          <t>Cashflow</t>
        </is>
      </c>
      <c r="H17" s="688" t="inlineStr">
        <is>
          <t>Valor unitario BRUTO × factor mensual. Factores vinculados a Flujo Neto (por diseño).</t>
        </is>
      </c>
    </row>
    <row r="18" ht="14" customHeight="1" s="549">
      <c r="A18" s="686" t="n"/>
      <c r="B18" s="682" t="inlineStr">
        <is>
          <t>Analítica</t>
        </is>
      </c>
      <c r="C18" s="682" t="inlineStr">
        <is>
          <t>Reporte corporativo NETO</t>
        </is>
      </c>
      <c r="D18" s="756" t="inlineStr">
        <is>
          <t>CORPORATIVO</t>
        </is>
      </c>
      <c r="E18" s="756" t="inlineStr">
        <is>
          <t>⛔ NO</t>
        </is>
      </c>
      <c r="F18" s="682" t="inlineStr">
        <is>
          <t>Flujo Neto</t>
        </is>
      </c>
      <c r="G18" s="682" t="inlineStr">
        <is>
          <t>—</t>
        </is>
      </c>
      <c r="H18" s="682" t="inlineStr">
        <is>
          <t>Formato ACCIONA inamovible. SUM() de rangos de Flujo Neto agrupados por código 20-27.</t>
        </is>
      </c>
    </row>
    <row r="19" ht="14" customHeight="1" s="549">
      <c r="A19" s="681" t="n"/>
      <c r="B19" s="688" t="inlineStr">
        <is>
          <t>Cashflow</t>
        </is>
      </c>
      <c r="C19" s="688" t="inlineStr">
        <is>
          <t>Reporte corporativo BRUTO</t>
        </is>
      </c>
      <c r="D19" s="733" t="inlineStr">
        <is>
          <t>CORPORATIVO</t>
        </is>
      </c>
      <c r="E19" s="733" t="inlineStr">
        <is>
          <t>⛔ NO</t>
        </is>
      </c>
      <c r="F19" s="688" t="inlineStr">
        <is>
          <t>Flujo Bruto</t>
        </is>
      </c>
      <c r="G19" s="688" t="inlineStr">
        <is>
          <t>—</t>
        </is>
      </c>
      <c r="H19" s="688" t="inlineStr">
        <is>
          <t>Formato ACCIONA inamovible. SUM() de rangos de Flujo Bruto por código Cashflow.</t>
        </is>
      </c>
    </row>
    <row r="20" ht="14" customHeight="1" s="549">
      <c r="A20" s="686" t="n"/>
      <c r="B20" s="682" t="inlineStr">
        <is>
          <t>Analisis Tecnicos</t>
        </is>
      </c>
      <c r="C20" s="682" t="inlineStr">
        <is>
          <t>Referencia técnica</t>
        </is>
      </c>
      <c r="D20" s="756" t="inlineStr">
        <is>
          <t>REFERENCIA</t>
        </is>
      </c>
      <c r="E20" s="756" t="inlineStr">
        <is>
          <t>✅ SÍ</t>
        </is>
      </c>
      <c r="F20" s="682" t="inlineStr">
        <is>
          <t>—</t>
        </is>
      </c>
      <c r="G20" s="682" t="inlineStr">
        <is>
          <t>Supuestos (ref.)</t>
        </is>
      </c>
      <c r="H20" s="682" t="inlineStr">
        <is>
          <t>Costos técnicos por instalación (Técnico A, Ayudante, Combustible). Insumo para validar precios.</t>
        </is>
      </c>
    </row>
    <row r="21" ht="14" customHeight="1" s="549">
      <c r="A21" s="681" t="n"/>
      <c r="B21" s="688" t="inlineStr">
        <is>
          <t>Guía Maestra</t>
        </is>
      </c>
      <c r="C21" s="688" t="inlineStr">
        <is>
          <t>Documentación central</t>
        </is>
      </c>
      <c r="D21" s="733" t="inlineStr">
        <is>
          <t>DOC</t>
        </is>
      </c>
      <c r="E21" s="733" t="inlineStr">
        <is>
          <t>✅ SÍ</t>
        </is>
      </c>
      <c r="F21" s="688" t="inlineStr">
        <is>
          <t>—</t>
        </is>
      </c>
      <c r="G21" s="688" t="inlineStr">
        <is>
          <t>—</t>
        </is>
      </c>
      <c r="H21" s="688" t="inlineStr">
        <is>
          <t>Este documento. Reemplaza a NOTAS y a la Guía de Vínculos.</t>
        </is>
      </c>
    </row>
    <row r="22"/>
    <row r="23" ht="14" customHeight="1" s="549">
      <c r="A23" s="693" t="inlineStr">
        <is>
          <t>3.  CADENA DE CÁLCULO</t>
        </is>
      </c>
      <c r="B23" s="686" t="n"/>
      <c r="C23" s="686" t="n"/>
      <c r="D23" s="686" t="n"/>
      <c r="E23" s="686" t="n"/>
      <c r="F23" s="686" t="n"/>
      <c r="G23" s="686" t="n"/>
      <c r="H23" s="686" t="n"/>
    </row>
    <row r="24" ht="14" customHeight="1" s="549">
      <c r="A24" s="694" t="inlineStr">
        <is>
          <t xml:space="preserve">  NETO:  Supuestos  →  Flujo Neto  →  Analítica</t>
        </is>
      </c>
      <c r="B24" s="681" t="n"/>
      <c r="C24" s="681" t="n"/>
      <c r="D24" s="681" t="n"/>
      <c r="E24" s="681" t="n"/>
      <c r="F24" s="681" t="n"/>
      <c r="G24" s="681" t="n"/>
      <c r="H24" s="681" t="n"/>
    </row>
    <row r="25" ht="14" customHeight="1" s="549">
      <c r="A25" s="686" t="n"/>
      <c r="B25" s="756" t="inlineStr">
        <is>
          <t>PASO 1</t>
        </is>
      </c>
      <c r="C25" s="682" t="inlineStr">
        <is>
          <t>Precio unitario</t>
        </is>
      </c>
      <c r="D25" s="682" t="inlineStr">
        <is>
          <t>Supuestos col E → Flujo Neto col E</t>
        </is>
      </c>
      <c r="E25" s="682">
        <f>#NAME?</f>
        <v/>
      </c>
      <c r="F25" s="682" t="inlineStr">
        <is>
          <t>Cada ítem de Flujo Neto toma su precio NETO directamente de Supuestos col E. Cambiar en Supuestos propaga automáticamente.</t>
        </is>
      </c>
      <c r="G25" s="686" t="n"/>
      <c r="H25" s="686" t="n"/>
    </row>
    <row r="26" ht="14" customHeight="1" s="549">
      <c r="A26" s="681" t="n"/>
      <c r="B26" s="733" t="inlineStr">
        <is>
          <t>PASO 2</t>
        </is>
      </c>
      <c r="C26" s="688" t="inlineStr">
        <is>
          <t>Factor mensual</t>
        </is>
      </c>
      <c r="D26" s="688" t="inlineStr">
        <is>
          <t>Tabla inferior Flujo Neto (filas 68+)</t>
        </is>
      </c>
      <c r="E26" s="688" t="inlineStr">
        <is>
          <t>Fila 69 = 0 / 0.3 / 0.5 / 0.2...</t>
        </is>
      </c>
      <c r="F26" s="688" t="inlineStr">
        <is>
          <t>Define en qué mes ocurre cada gasto. Si cambia el cronograma, se editan estos factores. Suma de factores = cantidad total del ítem.</t>
        </is>
      </c>
      <c r="G26" s="681" t="n"/>
      <c r="H26" s="681" t="n"/>
    </row>
    <row r="27" ht="14" customHeight="1" s="549">
      <c r="A27" s="686" t="n"/>
      <c r="B27" s="756" t="inlineStr">
        <is>
          <t>PASO 3</t>
        </is>
      </c>
      <c r="C27" s="682" t="inlineStr">
        <is>
          <t>Cálculo mensual</t>
        </is>
      </c>
      <c r="D27" s="682" t="inlineStr">
        <is>
          <t>Flujo Neto tabla superior</t>
        </is>
      </c>
      <c r="E27" s="682" t="inlineStr">
        <is>
          <t>H6 = =$E6*H69</t>
        </is>
      </c>
      <c r="F27" s="682" t="inlineStr">
        <is>
          <t>Precio unitario × factor del mes correspondiente. Las filas de grupo suman sus sub-ítems con SUM().</t>
        </is>
      </c>
      <c r="G27" s="686" t="n"/>
      <c r="H27" s="686" t="n"/>
    </row>
    <row r="28" ht="14" customHeight="1" s="549">
      <c r="A28" s="681" t="n"/>
      <c r="B28" s="733" t="inlineStr">
        <is>
          <t>PASO 4</t>
        </is>
      </c>
      <c r="C28" s="688" t="inlineStr">
        <is>
          <t>Agrupación en Analítica</t>
        </is>
      </c>
      <c r="D28" s="688" t="inlineStr">
        <is>
          <t>Flujo Neto → Analítica</t>
        </is>
      </c>
      <c r="E28" s="688" t="inlineStr">
        <is>
          <t>Analítica G12 = SUM('Flujo Neto'!H6:H10)</t>
        </is>
      </c>
      <c r="F28" s="688" t="inlineStr">
        <is>
          <t>Analítica suma rangos de Flujo Neto por código corporativo (21, 22, 23, 24, 25.x). También hay referencias directas para ítems únicos.</t>
        </is>
      </c>
      <c r="G28" s="681" t="n"/>
      <c r="H28" s="681" t="n"/>
    </row>
    <row r="29"/>
    <row r="30" ht="14" customHeight="1" s="549">
      <c r="A30" s="693" t="inlineStr">
        <is>
          <t xml:space="preserve">  BRUTO:  Supuestos  →  Flujo Bruto  →  Cashflow</t>
        </is>
      </c>
      <c r="B30" s="686" t="n"/>
      <c r="C30" s="686" t="n"/>
      <c r="D30" s="686" t="n"/>
      <c r="E30" s="686" t="n"/>
      <c r="F30" s="686" t="n"/>
      <c r="G30" s="686" t="n"/>
      <c r="H30" s="686" t="n"/>
    </row>
    <row r="31" ht="14" customHeight="1" s="549">
      <c r="A31" s="681" t="n"/>
      <c r="B31" s="733" t="inlineStr">
        <is>
          <t>PASO 1</t>
        </is>
      </c>
      <c r="C31" s="688" t="inlineStr">
        <is>
          <t>Precio unitario BRUTO</t>
        </is>
      </c>
      <c r="D31" s="688" t="inlineStr">
        <is>
          <t>Supuestos col G → Flujo Bruto col E</t>
        </is>
      </c>
      <c r="E31" s="688">
        <f>#NAME?</f>
        <v/>
      </c>
      <c r="F31" s="688" t="inlineStr">
        <is>
          <t>Flujo Bruto toma el precio con IVA de col G de Supuestos. El IVA está embebido en el precio unitario bruto.</t>
        </is>
      </c>
      <c r="G31" s="681" t="n"/>
      <c r="H31" s="681" t="n"/>
    </row>
    <row r="32" ht="14" customHeight="1" s="549">
      <c r="A32" s="686" t="n"/>
      <c r="B32" s="756" t="inlineStr">
        <is>
          <t>PASO 2</t>
        </is>
      </c>
      <c r="C32" s="682" t="inlineStr">
        <is>
          <t>Factores mensuales vinculados</t>
        </is>
      </c>
      <c r="D32" s="682" t="inlineStr">
        <is>
          <t>Tabla inferior Flujo Bruto ↔ Flujo Neto</t>
        </is>
      </c>
      <c r="E32" s="682" t="inlineStr">
        <is>
          <t>Por diseño: misma distribución</t>
        </is>
      </c>
      <c r="F32" s="682" t="inlineStr">
        <is>
          <t>Los factores de Flujo Bruto son los mismos que Flujo Neto (misma distribución temporal). Están duplicados por diseño, no por error — ambas hojas deben tener la misma tabla para funcionar de forma autónoma.</t>
        </is>
      </c>
      <c r="G32" s="686" t="n"/>
      <c r="H32" s="686" t="n"/>
    </row>
    <row r="33" ht="14" customHeight="1" s="549">
      <c r="A33" s="681" t="n"/>
      <c r="B33" s="733" t="inlineStr">
        <is>
          <t>PASO 3</t>
        </is>
      </c>
      <c r="C33" s="688" t="inlineStr">
        <is>
          <t>Agrupación en Cashflow</t>
        </is>
      </c>
      <c r="D33" s="688" t="inlineStr">
        <is>
          <t>Flujo Bruto → Cashflow</t>
        </is>
      </c>
      <c r="E33" s="688" t="inlineStr">
        <is>
          <t>SUM por código Cashflow corporativo</t>
        </is>
      </c>
      <c r="F33" s="688" t="inlineStr">
        <is>
          <t>Cashflow suma rangos de Flujo Bruto por código b.x (b.1 Compras activables, b.3 Alquileres, b.4 Personal, etc.).</t>
        </is>
      </c>
      <c r="G33" s="681" t="n"/>
      <c r="H33" s="681" t="n"/>
    </row>
    <row r="34"/>
    <row r="35" ht="14" customHeight="1" s="549">
      <c r="A35" s="693" t="inlineStr">
        <is>
          <t>4.  CORRESPONDENCIA ÍTEM → CÓDIGO ANALÍTICA / CASHFLOW  (1 a 1)</t>
        </is>
      </c>
      <c r="B35" s="686" t="n"/>
      <c r="C35" s="686" t="n"/>
      <c r="D35" s="686" t="n"/>
      <c r="E35" s="686" t="n"/>
      <c r="F35" s="686" t="n"/>
      <c r="G35" s="686" t="n"/>
      <c r="H35" s="686" t="n"/>
    </row>
    <row r="36" ht="14" customHeight="1" s="549">
      <c r="A36" s="681" t="n"/>
      <c r="B36" s="733" t="inlineStr">
        <is>
          <t>Nivel</t>
        </is>
      </c>
      <c r="C36" s="733" t="inlineStr">
        <is>
          <t>Item</t>
        </is>
      </c>
      <c r="D36" s="733" t="inlineStr">
        <is>
          <t>Código Analítica</t>
        </is>
      </c>
      <c r="E36" s="733" t="inlineStr">
        <is>
          <t>Descripción Analítica</t>
        </is>
      </c>
      <c r="F36" s="733" t="inlineStr">
        <is>
          <t>Código Cashflow</t>
        </is>
      </c>
      <c r="G36" s="733" t="inlineStr">
        <is>
          <t>Descripción Cashflow</t>
        </is>
      </c>
      <c r="H36" s="681" t="n"/>
    </row>
    <row r="37" ht="14" customHeight="1" s="549">
      <c r="A37" s="686" t="n"/>
      <c r="B37" s="756" t="inlineStr">
        <is>
          <t>1</t>
        </is>
      </c>
      <c r="C37" s="682" t="inlineStr">
        <is>
          <t>Compras activables ZIMPERTEC</t>
        </is>
      </c>
      <c r="D37" s="756" t="inlineStr">
        <is>
          <t>21</t>
        </is>
      </c>
      <c r="E37" s="682" t="inlineStr">
        <is>
          <t>Inversión de proyectos</t>
        </is>
      </c>
      <c r="F37" s="756" t="inlineStr">
        <is>
          <t>b.1</t>
        </is>
      </c>
      <c r="G37" s="682" t="inlineStr">
        <is>
          <t>Compras activables</t>
        </is>
      </c>
      <c r="H37" s="686" t="n"/>
    </row>
    <row r="38" ht="14" customHeight="1" s="549">
      <c r="A38" s="681" t="n"/>
      <c r="B38" s="733" t="inlineStr">
        <is>
          <t>1.1</t>
        </is>
      </c>
      <c r="C38" s="688" t="inlineStr">
        <is>
          <t>Sistemas AC</t>
        </is>
      </c>
      <c r="D38" s="733" t="inlineStr">
        <is>
          <t>21.1</t>
        </is>
      </c>
      <c r="E38" s="688" t="inlineStr">
        <is>
          <t>Compras activables equipos energía</t>
        </is>
      </c>
      <c r="F38" s="733" t="inlineStr">
        <is>
          <t>b.1</t>
        </is>
      </c>
      <c r="G38" s="688" t="inlineStr">
        <is>
          <t>Compras activables</t>
        </is>
      </c>
      <c r="H38" s="681" t="n"/>
    </row>
    <row r="39" ht="14" customHeight="1" s="549">
      <c r="A39" s="686" t="n"/>
      <c r="B39" s="756" t="inlineStr">
        <is>
          <t>1.2</t>
        </is>
      </c>
      <c r="C39" s="682" t="inlineStr">
        <is>
          <t>Paneles</t>
        </is>
      </c>
      <c r="D39" s="756" t="inlineStr">
        <is>
          <t>21.1</t>
        </is>
      </c>
      <c r="E39" s="682" t="inlineStr">
        <is>
          <t>Compras activables equipos energía</t>
        </is>
      </c>
      <c r="F39" s="756" t="inlineStr">
        <is>
          <t>b.1</t>
        </is>
      </c>
      <c r="G39" s="682" t="inlineStr">
        <is>
          <t>Compras activables</t>
        </is>
      </c>
      <c r="H39" s="686" t="n"/>
    </row>
    <row r="40" ht="14" customHeight="1" s="549">
      <c r="A40" s="681" t="n"/>
      <c r="B40" s="733" t="inlineStr">
        <is>
          <t>1.3</t>
        </is>
      </c>
      <c r="C40" s="688" t="inlineStr">
        <is>
          <t>Lamparas</t>
        </is>
      </c>
      <c r="D40" s="733" t="inlineStr">
        <is>
          <t>21.1</t>
        </is>
      </c>
      <c r="E40" s="688" t="inlineStr">
        <is>
          <t>Compras activables equipos energía</t>
        </is>
      </c>
      <c r="F40" s="733" t="inlineStr">
        <is>
          <t>b.1</t>
        </is>
      </c>
      <c r="G40" s="688" t="inlineStr">
        <is>
          <t>Compras activables</t>
        </is>
      </c>
      <c r="H40" s="681" t="n"/>
    </row>
    <row r="41" ht="14" customHeight="1" s="549">
      <c r="A41" s="686" t="n"/>
      <c r="B41" s="756" t="inlineStr">
        <is>
          <t>1.4</t>
        </is>
      </c>
      <c r="C41" s="682" t="inlineStr">
        <is>
          <t>Hardware Monitoreo</t>
        </is>
      </c>
      <c r="D41" s="756" t="inlineStr">
        <is>
          <t>21.1</t>
        </is>
      </c>
      <c r="E41" s="682" t="inlineStr">
        <is>
          <t>Compras activables equipos energía</t>
        </is>
      </c>
      <c r="F41" s="756" t="inlineStr">
        <is>
          <t>b.1</t>
        </is>
      </c>
      <c r="G41" s="682" t="inlineStr">
        <is>
          <t>Compras activables</t>
        </is>
      </c>
      <c r="H41" s="686" t="n"/>
    </row>
    <row r="42" ht="14" customHeight="1" s="549">
      <c r="A42" s="681" t="n"/>
      <c r="B42" s="733" t="inlineStr">
        <is>
          <t>1.5</t>
        </is>
      </c>
      <c r="C42" s="688" t="inlineStr">
        <is>
          <t>Software Monitoreo</t>
        </is>
      </c>
      <c r="D42" s="733" t="inlineStr">
        <is>
          <t>21.1</t>
        </is>
      </c>
      <c r="E42" s="688" t="inlineStr">
        <is>
          <t>Compras activables equipos energía</t>
        </is>
      </c>
      <c r="F42" s="733" t="inlineStr">
        <is>
          <t>b.1</t>
        </is>
      </c>
      <c r="G42" s="688" t="inlineStr">
        <is>
          <t>Compras activables</t>
        </is>
      </c>
      <c r="H42" s="681" t="n"/>
    </row>
    <row r="43" ht="14" customHeight="1" s="549">
      <c r="A43" s="686" t="n"/>
      <c r="B43" s="756" t="inlineStr">
        <is>
          <t>1.6</t>
        </is>
      </c>
      <c r="C43" s="682" t="inlineStr">
        <is>
          <t>Repuestos</t>
        </is>
      </c>
      <c r="D43" s="756" t="inlineStr">
        <is>
          <t>22.2</t>
        </is>
      </c>
      <c r="E43" s="682" t="inlineStr">
        <is>
          <t>Compra de repuestos a inventario</t>
        </is>
      </c>
      <c r="F43" s="756" t="inlineStr">
        <is>
          <t>b.2</t>
        </is>
      </c>
      <c r="G43" s="682" t="inlineStr">
        <is>
          <t>Compras inventariables</t>
        </is>
      </c>
      <c r="H43" s="686" t="n"/>
    </row>
    <row r="44" ht="14" customHeight="1" s="549">
      <c r="A44" s="681" t="n"/>
      <c r="B44" s="733" t="inlineStr">
        <is>
          <t>1.7</t>
        </is>
      </c>
      <c r="C44" s="688" t="inlineStr">
        <is>
          <t>Flete</t>
        </is>
      </c>
      <c r="D44" s="733" t="inlineStr">
        <is>
          <t>25.7</t>
        </is>
      </c>
      <c r="E44" s="688" t="inlineStr">
        <is>
          <t>Correo, mensajería, transporte equipos</t>
        </is>
      </c>
      <c r="F44" s="733" t="inlineStr">
        <is>
          <t>b.7</t>
        </is>
      </c>
      <c r="G44" s="688" t="inlineStr">
        <is>
          <t>Transporte equipos</t>
        </is>
      </c>
      <c r="H44" s="681" t="n"/>
    </row>
    <row r="45" ht="14" customHeight="1" s="549">
      <c r="A45" s="686" t="n"/>
      <c r="B45" s="756" t="inlineStr">
        <is>
          <t>2</t>
        </is>
      </c>
      <c r="C45" s="682" t="inlineStr">
        <is>
          <t>Insumos Instalación</t>
        </is>
      </c>
      <c r="D45" s="756" t="inlineStr">
        <is>
          <t>23</t>
        </is>
      </c>
      <c r="E45" s="682" t="inlineStr">
        <is>
          <t>Compras no activables ni inventariables</t>
        </is>
      </c>
      <c r="F45" s="756" t="inlineStr">
        <is>
          <t>b.2</t>
        </is>
      </c>
      <c r="G45" s="682" t="inlineStr">
        <is>
          <t>No activables</t>
        </is>
      </c>
      <c r="H45" s="686" t="n"/>
    </row>
    <row r="46" ht="14" customHeight="1" s="549">
      <c r="A46" s="681" t="n"/>
      <c r="B46" s="733" t="inlineStr">
        <is>
          <t>2.1</t>
        </is>
      </c>
      <c r="C46" s="688" t="inlineStr">
        <is>
          <t>Estructura</t>
        </is>
      </c>
      <c r="D46" s="733" t="inlineStr">
        <is>
          <t>23</t>
        </is>
      </c>
      <c r="E46" s="688" t="inlineStr">
        <is>
          <t>Compras no activables ni inventariables</t>
        </is>
      </c>
      <c r="F46" s="733" t="inlineStr">
        <is>
          <t>b.2</t>
        </is>
      </c>
      <c r="G46" s="688" t="inlineStr">
        <is>
          <t>No activables</t>
        </is>
      </c>
      <c r="H46" s="681" t="n"/>
    </row>
    <row r="47" ht="14" customHeight="1" s="549">
      <c r="A47" s="686" t="n"/>
      <c r="B47" s="756" t="inlineStr">
        <is>
          <t>2.2</t>
        </is>
      </c>
      <c r="C47" s="682" t="inlineStr">
        <is>
          <t>Materiales instalación</t>
        </is>
      </c>
      <c r="D47" s="756" t="inlineStr">
        <is>
          <t>23</t>
        </is>
      </c>
      <c r="E47" s="682" t="inlineStr">
        <is>
          <t>Compras no activables ni inventariables</t>
        </is>
      </c>
      <c r="F47" s="756" t="inlineStr">
        <is>
          <t>b.2</t>
        </is>
      </c>
      <c r="G47" s="682" t="inlineStr">
        <is>
          <t>No activables</t>
        </is>
      </c>
      <c r="H47" s="686" t="n"/>
    </row>
    <row r="48" ht="14" customHeight="1" s="549">
      <c r="A48" s="681" t="n"/>
      <c r="B48" s="733" t="inlineStr">
        <is>
          <t>2.3</t>
        </is>
      </c>
      <c r="C48" s="688" t="inlineStr">
        <is>
          <t>Herramientas</t>
        </is>
      </c>
      <c r="D48" s="733" t="inlineStr">
        <is>
          <t>23</t>
        </is>
      </c>
      <c r="E48" s="688" t="inlineStr">
        <is>
          <t>Compras no activables ni inventariables</t>
        </is>
      </c>
      <c r="F48" s="733" t="inlineStr">
        <is>
          <t>b.2</t>
        </is>
      </c>
      <c r="G48" s="688" t="inlineStr">
        <is>
          <t>No activables</t>
        </is>
      </c>
      <c r="H48" s="681" t="n"/>
    </row>
    <row r="49" ht="14" customHeight="1" s="549">
      <c r="A49" s="686" t="n"/>
      <c r="B49" s="756" t="inlineStr">
        <is>
          <t>3.</t>
        </is>
      </c>
      <c r="C49" s="682" t="inlineStr">
        <is>
          <t>Personal y Servicios</t>
        </is>
      </c>
      <c r="D49" s="756" t="inlineStr">
        <is>
          <t>24</t>
        </is>
      </c>
      <c r="E49" s="682" t="inlineStr">
        <is>
          <t>Gastos de personal de proyectos</t>
        </is>
      </c>
      <c r="F49" s="756" t="inlineStr">
        <is>
          <t>b.4</t>
        </is>
      </c>
      <c r="G49" s="682" t="inlineStr">
        <is>
          <t>Personal / Planilla</t>
        </is>
      </c>
      <c r="H49" s="686" t="n"/>
    </row>
    <row r="50" ht="14" customHeight="1" s="549">
      <c r="A50" s="681" t="n"/>
      <c r="B50" s="733" t="inlineStr">
        <is>
          <t>3.1</t>
        </is>
      </c>
      <c r="C50" s="688" t="inlineStr">
        <is>
          <t>Planilla Actual</t>
        </is>
      </c>
      <c r="D50" s="733" t="inlineStr">
        <is>
          <t>24</t>
        </is>
      </c>
      <c r="E50" s="688" t="inlineStr">
        <is>
          <t>Gastos de personal de proyectos</t>
        </is>
      </c>
      <c r="F50" s="733" t="inlineStr">
        <is>
          <t>b.4</t>
        </is>
      </c>
      <c r="G50" s="688" t="inlineStr">
        <is>
          <t>Personal / Planilla</t>
        </is>
      </c>
      <c r="H50" s="681" t="n"/>
    </row>
    <row r="51" ht="14" customHeight="1" s="549">
      <c r="A51" s="686" t="n"/>
      <c r="B51" s="756" t="inlineStr">
        <is>
          <t>4.</t>
        </is>
      </c>
      <c r="C51" s="682" t="inlineStr">
        <is>
          <t>Servicios Profesionales</t>
        </is>
      </c>
      <c r="D51" s="756" t="inlineStr">
        <is>
          <t>25.6</t>
        </is>
      </c>
      <c r="E51" s="682" t="inlineStr">
        <is>
          <t>Servicios profesionales otros</t>
        </is>
      </c>
      <c r="F51" s="756" t="inlineStr">
        <is>
          <t>b.4</t>
        </is>
      </c>
      <c r="G51" s="682" t="inlineStr">
        <is>
          <t>Servicios profesionales</t>
        </is>
      </c>
      <c r="H51" s="686" t="n"/>
    </row>
    <row r="52" ht="14" customHeight="1" s="549">
      <c r="A52" s="681" t="n"/>
      <c r="B52" s="733" t="inlineStr">
        <is>
          <t>4.1</t>
        </is>
      </c>
      <c r="C52" s="688" t="inlineStr">
        <is>
          <t>Encargado de Logistica y Bodega</t>
        </is>
      </c>
      <c r="D52" s="733" t="inlineStr">
        <is>
          <t>25.6</t>
        </is>
      </c>
      <c r="E52" s="688" t="inlineStr">
        <is>
          <t>Servicios profesionales otros</t>
        </is>
      </c>
      <c r="F52" s="733" t="inlineStr">
        <is>
          <t>b.4</t>
        </is>
      </c>
      <c r="G52" s="688" t="inlineStr">
        <is>
          <t>Servicios profesionales</t>
        </is>
      </c>
      <c r="H52" s="681" t="n"/>
    </row>
    <row r="53" ht="14" customHeight="1" s="549">
      <c r="A53" s="686" t="n"/>
      <c r="B53" s="756" t="inlineStr">
        <is>
          <t>4.2</t>
        </is>
      </c>
      <c r="C53" s="682" t="inlineStr">
        <is>
          <t>Técnico pago por instalación - Plan A</t>
        </is>
      </c>
      <c r="D53" s="756" t="inlineStr">
        <is>
          <t>25.6</t>
        </is>
      </c>
      <c r="E53" s="682" t="inlineStr">
        <is>
          <t>Servicios profesionales otros</t>
        </is>
      </c>
      <c r="F53" s="756" t="inlineStr">
        <is>
          <t>b.4</t>
        </is>
      </c>
      <c r="G53" s="682" t="inlineStr">
        <is>
          <t>Servicios profesionales</t>
        </is>
      </c>
      <c r="H53" s="686" t="n"/>
    </row>
    <row r="54" ht="14" customHeight="1" s="549">
      <c r="A54" s="681" t="n"/>
      <c r="B54" s="733" t="inlineStr">
        <is>
          <t>4.3</t>
        </is>
      </c>
      <c r="C54" s="688" t="inlineStr">
        <is>
          <t>Técnico contrato mensual - Plan B</t>
        </is>
      </c>
      <c r="D54" s="733" t="inlineStr">
        <is>
          <t>25.6</t>
        </is>
      </c>
      <c r="E54" s="688" t="inlineStr">
        <is>
          <t>Servicios profesionales otros</t>
        </is>
      </c>
      <c r="F54" s="733" t="inlineStr">
        <is>
          <t>b.4</t>
        </is>
      </c>
      <c r="G54" s="688" t="inlineStr">
        <is>
          <t>Servicios profesionales</t>
        </is>
      </c>
      <c r="H54" s="681" t="n"/>
    </row>
    <row r="55" ht="14" customHeight="1" s="549">
      <c r="A55" s="686" t="n"/>
      <c r="B55" s="756" t="inlineStr">
        <is>
          <t>4.4</t>
        </is>
      </c>
      <c r="C55" s="682" t="inlineStr">
        <is>
          <t>Ayudante contrato mensual - Plan B</t>
        </is>
      </c>
      <c r="D55" s="756" t="inlineStr">
        <is>
          <t>25.6</t>
        </is>
      </c>
      <c r="E55" s="682" t="inlineStr">
        <is>
          <t>Servicios profesionales otros</t>
        </is>
      </c>
      <c r="F55" s="756" t="inlineStr">
        <is>
          <t>b.4</t>
        </is>
      </c>
      <c r="G55" s="682" t="inlineStr">
        <is>
          <t>Servicios profesionales</t>
        </is>
      </c>
      <c r="H55" s="686" t="n"/>
    </row>
    <row r="56" ht="14" customHeight="1" s="549">
      <c r="A56" s="681" t="n"/>
      <c r="B56" s="733" t="inlineStr">
        <is>
          <t>4.5</t>
        </is>
      </c>
      <c r="C56" s="688" t="inlineStr">
        <is>
          <t>Personal apoyo Planos TE1</t>
        </is>
      </c>
      <c r="D56" s="733" t="inlineStr">
        <is>
          <t>25.6</t>
        </is>
      </c>
      <c r="E56" s="688" t="inlineStr">
        <is>
          <t>Servicios profesionales otros</t>
        </is>
      </c>
      <c r="F56" s="733" t="inlineStr">
        <is>
          <t>b.4</t>
        </is>
      </c>
      <c r="G56" s="688" t="inlineStr">
        <is>
          <t>Servicios profesionales</t>
        </is>
      </c>
      <c r="H56" s="681" t="n"/>
    </row>
    <row r="57" ht="14" customHeight="1" s="549">
      <c r="A57" s="686" t="n"/>
      <c r="B57" s="756" t="inlineStr">
        <is>
          <t>5.</t>
        </is>
      </c>
      <c r="C57" s="682" t="inlineStr">
        <is>
          <t>Alquileres RRCC</t>
        </is>
      </c>
      <c r="D57" s="756" t="inlineStr">
        <is>
          <t>25.1</t>
        </is>
      </c>
      <c r="E57" s="682" t="inlineStr">
        <is>
          <t>Alquiler de vehículos</t>
        </is>
      </c>
      <c r="F57" s="756" t="inlineStr">
        <is>
          <t>b.3</t>
        </is>
      </c>
      <c r="G57" s="682" t="inlineStr">
        <is>
          <t>Alquileres</t>
        </is>
      </c>
      <c r="H57" s="686" t="n"/>
    </row>
    <row r="58" ht="14" customHeight="1" s="549">
      <c r="A58" s="681" t="n"/>
      <c r="B58" s="733" t="inlineStr">
        <is>
          <t>5.1</t>
        </is>
      </c>
      <c r="C58" s="688" t="inlineStr">
        <is>
          <t>Arriendo vehículo diario - RRCC</t>
        </is>
      </c>
      <c r="D58" s="733" t="inlineStr">
        <is>
          <t>25.1</t>
        </is>
      </c>
      <c r="E58" s="688" t="inlineStr">
        <is>
          <t>Alquiler de vehículos</t>
        </is>
      </c>
      <c r="F58" s="733" t="inlineStr">
        <is>
          <t>b.3</t>
        </is>
      </c>
      <c r="G58" s="688" t="inlineStr">
        <is>
          <t>Alquileres</t>
        </is>
      </c>
      <c r="H58" s="681" t="n"/>
    </row>
    <row r="59" ht="14" customHeight="1" s="549">
      <c r="A59" s="686" t="n"/>
      <c r="B59" s="756" t="inlineStr">
        <is>
          <t>5.2</t>
        </is>
      </c>
      <c r="C59" s="682" t="inlineStr">
        <is>
          <t>Vehiculo RRCC</t>
        </is>
      </c>
      <c r="D59" s="756" t="inlineStr">
        <is>
          <t>25.1</t>
        </is>
      </c>
      <c r="E59" s="682" t="inlineStr">
        <is>
          <t>Alquiler de vehículos</t>
        </is>
      </c>
      <c r="F59" s="756" t="inlineStr">
        <is>
          <t>b.3</t>
        </is>
      </c>
      <c r="G59" s="682" t="inlineStr">
        <is>
          <t>Alquileres</t>
        </is>
      </c>
      <c r="H59" s="686" t="n"/>
    </row>
    <row r="60" ht="14" customHeight="1" s="549">
      <c r="A60" s="681" t="n"/>
      <c r="B60" s="733" t="inlineStr">
        <is>
          <t>6.</t>
        </is>
      </c>
      <c r="C60" s="688" t="inlineStr">
        <is>
          <t>Alquileres Gestión Técnica</t>
        </is>
      </c>
      <c r="D60" s="733" t="inlineStr">
        <is>
          <t>25.1/25.3</t>
        </is>
      </c>
      <c r="E60" s="688" t="inlineStr">
        <is>
          <t>Alq. vehículos / Alq. otros</t>
        </is>
      </c>
      <c r="F60" s="733" t="inlineStr">
        <is>
          <t>b.3</t>
        </is>
      </c>
      <c r="G60" s="688" t="inlineStr">
        <is>
          <t>Alquileres</t>
        </is>
      </c>
      <c r="H60" s="681" t="n"/>
    </row>
    <row r="61" ht="14" customHeight="1" s="549">
      <c r="A61" s="686" t="n"/>
      <c r="B61" s="756" t="inlineStr">
        <is>
          <t>6.1</t>
        </is>
      </c>
      <c r="C61" s="682" t="inlineStr">
        <is>
          <t>Bodega Terreno</t>
        </is>
      </c>
      <c r="D61" s="756" t="inlineStr">
        <is>
          <t>25.3</t>
        </is>
      </c>
      <c r="E61" s="682" t="inlineStr">
        <is>
          <t>Alquiler otros</t>
        </is>
      </c>
      <c r="F61" s="756" t="inlineStr">
        <is>
          <t>b.3</t>
        </is>
      </c>
      <c r="G61" s="682" t="inlineStr">
        <is>
          <t>Alquileres</t>
        </is>
      </c>
      <c r="H61" s="686" t="n"/>
    </row>
    <row r="62" ht="14" customHeight="1" s="549">
      <c r="A62" s="681" t="n"/>
      <c r="B62" s="733" t="inlineStr">
        <is>
          <t>6.2</t>
        </is>
      </c>
      <c r="C62" s="688" t="inlineStr">
        <is>
          <t>Arriendo vehículo diario - Área Técnica</t>
        </is>
      </c>
      <c r="D62" s="733" t="inlineStr">
        <is>
          <t>25.1</t>
        </is>
      </c>
      <c r="E62" s="688" t="inlineStr">
        <is>
          <t>Alquiler de vehículos</t>
        </is>
      </c>
      <c r="F62" s="733" t="inlineStr">
        <is>
          <t>b.3</t>
        </is>
      </c>
      <c r="G62" s="688" t="inlineStr">
        <is>
          <t>Alquileres</t>
        </is>
      </c>
      <c r="H62" s="681" t="n"/>
    </row>
    <row r="63" ht="14" customHeight="1" s="549">
      <c r="A63" s="686" t="n"/>
      <c r="B63" s="756" t="inlineStr">
        <is>
          <t>6.3</t>
        </is>
      </c>
      <c r="C63" s="682" t="inlineStr">
        <is>
          <t>Vehiculo Instaladores</t>
        </is>
      </c>
      <c r="D63" s="756" t="inlineStr">
        <is>
          <t>25.1</t>
        </is>
      </c>
      <c r="E63" s="682" t="inlineStr">
        <is>
          <t>Alquiler de vehículos</t>
        </is>
      </c>
      <c r="F63" s="756" t="inlineStr">
        <is>
          <t>b.3</t>
        </is>
      </c>
      <c r="G63" s="682" t="inlineStr">
        <is>
          <t>Alquileres</t>
        </is>
      </c>
      <c r="H63" s="686" t="n"/>
    </row>
    <row r="64" ht="14" customHeight="1" s="549">
      <c r="A64" s="681" t="n"/>
      <c r="B64" s="733" t="inlineStr">
        <is>
          <t>6.4</t>
        </is>
      </c>
      <c r="C64" s="688" t="inlineStr">
        <is>
          <t>Vehiculo Transporte (Maxus Deliver 9)</t>
        </is>
      </c>
      <c r="D64" s="733" t="inlineStr">
        <is>
          <t>25.1</t>
        </is>
      </c>
      <c r="E64" s="688" t="inlineStr">
        <is>
          <t>Alquiler de vehículos</t>
        </is>
      </c>
      <c r="F64" s="733" t="inlineStr">
        <is>
          <t>b.3</t>
        </is>
      </c>
      <c r="G64" s="688" t="inlineStr">
        <is>
          <t>Alquileres</t>
        </is>
      </c>
      <c r="H64" s="681" t="n"/>
    </row>
    <row r="65" ht="14" customHeight="1" s="549">
      <c r="A65" s="686" t="n"/>
      <c r="B65" s="756" t="inlineStr">
        <is>
          <t>7.</t>
        </is>
      </c>
      <c r="C65" s="682" t="inlineStr">
        <is>
          <t>Transporte</t>
        </is>
      </c>
      <c r="D65" s="756" t="inlineStr">
        <is>
          <t>25.7</t>
        </is>
      </c>
      <c r="E65" s="682" t="inlineStr">
        <is>
          <t>Correo, mensajería, transporte equipos</t>
        </is>
      </c>
      <c r="F65" s="756" t="inlineStr">
        <is>
          <t>b.7</t>
        </is>
      </c>
      <c r="G65" s="682" t="inlineStr">
        <is>
          <t>Transporte</t>
        </is>
      </c>
      <c r="H65" s="686" t="n"/>
    </row>
    <row r="66" ht="14" customHeight="1" s="549">
      <c r="A66" s="681" t="n"/>
      <c r="B66" s="733" t="inlineStr">
        <is>
          <t>7.1</t>
        </is>
      </c>
      <c r="C66" s="688" t="inlineStr">
        <is>
          <t>Transporte ZIMPERTEC</t>
        </is>
      </c>
      <c r="D66" s="733" t="inlineStr">
        <is>
          <t>25.7</t>
        </is>
      </c>
      <c r="E66" s="688" t="inlineStr">
        <is>
          <t>Correo, mensajería, transporte equipos</t>
        </is>
      </c>
      <c r="F66" s="733" t="inlineStr">
        <is>
          <t>b.7</t>
        </is>
      </c>
      <c r="G66" s="688" t="inlineStr">
        <is>
          <t>Transporte</t>
        </is>
      </c>
      <c r="H66" s="681" t="n"/>
    </row>
    <row r="67" ht="14" customHeight="1" s="549">
      <c r="A67" s="686" t="n"/>
      <c r="B67" s="756" t="inlineStr">
        <is>
          <t>7.2</t>
        </is>
      </c>
      <c r="C67" s="682" t="inlineStr">
        <is>
          <t>Transporte DESCONSOLIDADO</t>
        </is>
      </c>
      <c r="D67" s="756" t="inlineStr">
        <is>
          <t>25.7</t>
        </is>
      </c>
      <c r="E67" s="682" t="inlineStr">
        <is>
          <t>Correo, mensajería, transporte equipos</t>
        </is>
      </c>
      <c r="F67" s="756" t="inlineStr">
        <is>
          <t>b.7</t>
        </is>
      </c>
      <c r="G67" s="682" t="inlineStr">
        <is>
          <t>Transporte</t>
        </is>
      </c>
      <c r="H67" s="686" t="n"/>
    </row>
    <row r="68" ht="14" customHeight="1" s="549">
      <c r="A68" s="681" t="n"/>
      <c r="B68" s="733" t="inlineStr">
        <is>
          <t>7.3</t>
        </is>
      </c>
      <c r="C68" s="688" t="inlineStr">
        <is>
          <t>Traslado Contenedor (ida y vuelta)</t>
        </is>
      </c>
      <c r="D68" s="733" t="inlineStr">
        <is>
          <t>25.7</t>
        </is>
      </c>
      <c r="E68" s="688" t="inlineStr">
        <is>
          <t>Correo, mensajería, transporte equipos</t>
        </is>
      </c>
      <c r="F68" s="733" t="inlineStr">
        <is>
          <t>b.7</t>
        </is>
      </c>
      <c r="G68" s="688" t="inlineStr">
        <is>
          <t>Transporte</t>
        </is>
      </c>
      <c r="H68" s="681" t="n"/>
    </row>
    <row r="69" ht="14" customHeight="1" s="549">
      <c r="A69" s="686" t="n"/>
      <c r="B69" s="756" t="inlineStr">
        <is>
          <t>7.4</t>
        </is>
      </c>
      <c r="C69" s="682" t="inlineStr">
        <is>
          <t>Camión RAMPLA ABIERTA</t>
        </is>
      </c>
      <c r="D69" s="756" t="inlineStr">
        <is>
          <t>25.7</t>
        </is>
      </c>
      <c r="E69" s="682" t="inlineStr">
        <is>
          <t>Correo, mensajería, transporte equipos</t>
        </is>
      </c>
      <c r="F69" s="756" t="inlineStr">
        <is>
          <t>b.7</t>
        </is>
      </c>
      <c r="G69" s="682" t="inlineStr">
        <is>
          <t>Transporte</t>
        </is>
      </c>
      <c r="H69" s="686" t="n"/>
    </row>
    <row r="70" ht="14" customHeight="1" s="549">
      <c r="A70" s="681" t="n"/>
      <c r="B70" s="733" t="inlineStr">
        <is>
          <t>7.5</t>
        </is>
      </c>
      <c r="C70" s="688" t="inlineStr">
        <is>
          <t>Grúa en Origen</t>
        </is>
      </c>
      <c r="D70" s="733" t="inlineStr">
        <is>
          <t>25.7</t>
        </is>
      </c>
      <c r="E70" s="688" t="inlineStr">
        <is>
          <t>Correo, mensajería, transporte equipos</t>
        </is>
      </c>
      <c r="F70" s="733" t="inlineStr">
        <is>
          <t>b.7</t>
        </is>
      </c>
      <c r="G70" s="688" t="inlineStr">
        <is>
          <t>Transporte</t>
        </is>
      </c>
      <c r="H70" s="681" t="n"/>
    </row>
    <row r="71" ht="14" customHeight="1" s="549">
      <c r="A71" s="686" t="n"/>
      <c r="B71" s="756" t="inlineStr">
        <is>
          <t>7.6</t>
        </is>
      </c>
      <c r="C71" s="682" t="inlineStr">
        <is>
          <t>Grúa en Punto Destino (6 Horas)</t>
        </is>
      </c>
      <c r="D71" s="756" t="inlineStr">
        <is>
          <t>25.7</t>
        </is>
      </c>
      <c r="E71" s="682" t="inlineStr">
        <is>
          <t>Correo, mensajería, transporte equipos</t>
        </is>
      </c>
      <c r="F71" s="756" t="inlineStr">
        <is>
          <t>b.7</t>
        </is>
      </c>
      <c r="G71" s="682" t="inlineStr">
        <is>
          <t>Transporte</t>
        </is>
      </c>
      <c r="H71" s="686" t="n"/>
    </row>
    <row r="72" ht="14" customHeight="1" s="549">
      <c r="A72" s="681" t="n"/>
      <c r="B72" s="733" t="inlineStr">
        <is>
          <t>7.7</t>
        </is>
      </c>
      <c r="C72" s="688" t="inlineStr">
        <is>
          <t>Camión Transporte (Camión cerrado)</t>
        </is>
      </c>
      <c r="D72" s="733" t="inlineStr">
        <is>
          <t>25.7</t>
        </is>
      </c>
      <c r="E72" s="688" t="inlineStr">
        <is>
          <t>Correo, mensajería, transporte equipos</t>
        </is>
      </c>
      <c r="F72" s="733" t="inlineStr">
        <is>
          <t>b.7</t>
        </is>
      </c>
      <c r="G72" s="688" t="inlineStr">
        <is>
          <t>Transporte</t>
        </is>
      </c>
      <c r="H72" s="681" t="n"/>
    </row>
    <row r="73" ht="14" customHeight="1" s="549">
      <c r="A73" s="686" t="n"/>
      <c r="B73" s="756" t="inlineStr">
        <is>
          <t>8.</t>
        </is>
      </c>
      <c r="C73" s="682" t="inlineStr">
        <is>
          <t>Viajes RRCC</t>
        </is>
      </c>
      <c r="D73" s="756" t="inlineStr">
        <is>
          <t>25.11/25.13</t>
        </is>
      </c>
      <c r="E73" s="682" t="inlineStr">
        <is>
          <t>Combustible / Viajes</t>
        </is>
      </c>
      <c r="F73" s="756" t="inlineStr">
        <is>
          <t>b.5</t>
        </is>
      </c>
      <c r="G73" s="682" t="inlineStr">
        <is>
          <t>Viajes RRCC</t>
        </is>
      </c>
      <c r="H73" s="686" t="n"/>
    </row>
    <row r="74" ht="14" customHeight="1" s="549">
      <c r="A74" s="681" t="n"/>
      <c r="B74" s="733" t="inlineStr">
        <is>
          <t>8.1</t>
        </is>
      </c>
      <c r="C74" s="688" t="inlineStr">
        <is>
          <t>Traslados de personal</t>
        </is>
      </c>
      <c r="D74" s="733" t="inlineStr">
        <is>
          <t>25.13</t>
        </is>
      </c>
      <c r="E74" s="688" t="inlineStr">
        <is>
          <t>Viajes (billetes, vuelos, hoteles, otros)</t>
        </is>
      </c>
      <c r="F74" s="733" t="inlineStr">
        <is>
          <t>b.5</t>
        </is>
      </c>
      <c r="G74" s="688" t="inlineStr">
        <is>
          <t>Viajes RRCC</t>
        </is>
      </c>
      <c r="H74" s="681" t="n"/>
    </row>
    <row r="75" ht="14" customHeight="1" s="549">
      <c r="A75" s="686" t="n"/>
      <c r="B75" s="756" t="inlineStr">
        <is>
          <t>8.2</t>
        </is>
      </c>
      <c r="C75" s="682" t="inlineStr">
        <is>
          <t>Alojamiento</t>
        </is>
      </c>
      <c r="D75" s="756" t="inlineStr">
        <is>
          <t>25.13</t>
        </is>
      </c>
      <c r="E75" s="682" t="inlineStr">
        <is>
          <t>Viajes (billetes, vuelos, hoteles, otros)</t>
        </is>
      </c>
      <c r="F75" s="756" t="inlineStr">
        <is>
          <t>b.5</t>
        </is>
      </c>
      <c r="G75" s="682" t="inlineStr">
        <is>
          <t>Viajes RRCC</t>
        </is>
      </c>
      <c r="H75" s="686" t="n"/>
    </row>
    <row r="76" ht="14" customHeight="1" s="549">
      <c r="A76" s="681" t="n"/>
      <c r="B76" s="733" t="inlineStr">
        <is>
          <t>8.3</t>
        </is>
      </c>
      <c r="C76" s="688" t="inlineStr">
        <is>
          <t>Alimentación</t>
        </is>
      </c>
      <c r="D76" s="733" t="inlineStr">
        <is>
          <t>25.13</t>
        </is>
      </c>
      <c r="E76" s="688" t="inlineStr">
        <is>
          <t>Viajes (billetes, vuelos, hoteles, otros)</t>
        </is>
      </c>
      <c r="F76" s="733" t="inlineStr">
        <is>
          <t>b.5</t>
        </is>
      </c>
      <c r="G76" s="688" t="inlineStr">
        <is>
          <t>Viajes RRCC</t>
        </is>
      </c>
      <c r="H76" s="681" t="n"/>
    </row>
    <row r="77" ht="14" customHeight="1" s="549">
      <c r="A77" s="686" t="n"/>
      <c r="B77" s="756" t="inlineStr">
        <is>
          <t>8.4</t>
        </is>
      </c>
      <c r="C77" s="682" t="inlineStr">
        <is>
          <t>Combustible arriendo diario</t>
        </is>
      </c>
      <c r="D77" s="756" t="inlineStr">
        <is>
          <t>25.11</t>
        </is>
      </c>
      <c r="E77" s="682" t="inlineStr">
        <is>
          <t>Suministro de combustible para vehículos</t>
        </is>
      </c>
      <c r="F77" s="756" t="inlineStr">
        <is>
          <t>b.5</t>
        </is>
      </c>
      <c r="G77" s="682" t="inlineStr">
        <is>
          <t>Viajes RRCC</t>
        </is>
      </c>
      <c r="H77" s="686" t="n"/>
    </row>
    <row r="78" ht="14" customHeight="1" s="549">
      <c r="A78" s="681" t="n"/>
      <c r="B78" s="733" t="inlineStr">
        <is>
          <t>8.5</t>
        </is>
      </c>
      <c r="C78" s="688" t="inlineStr">
        <is>
          <t>Combustible arriendo mensual</t>
        </is>
      </c>
      <c r="D78" s="733" t="inlineStr">
        <is>
          <t>25.11</t>
        </is>
      </c>
      <c r="E78" s="688" t="inlineStr">
        <is>
          <t>Suministro de combustible para vehículos</t>
        </is>
      </c>
      <c r="F78" s="733" t="inlineStr">
        <is>
          <t>b.5</t>
        </is>
      </c>
      <c r="G78" s="688" t="inlineStr">
        <is>
          <t>Viajes RRCC</t>
        </is>
      </c>
      <c r="H78" s="681" t="n"/>
    </row>
    <row r="79" ht="14" customHeight="1" s="549">
      <c r="A79" s="686" t="n"/>
      <c r="B79" s="756" t="inlineStr">
        <is>
          <t>8.6</t>
        </is>
      </c>
      <c r="C79" s="682" t="inlineStr">
        <is>
          <t>Peajes</t>
        </is>
      </c>
      <c r="D79" s="756" t="inlineStr">
        <is>
          <t>25.13</t>
        </is>
      </c>
      <c r="E79" s="682" t="inlineStr">
        <is>
          <t>Viajes (billetes, vuelos, hoteles, otros)</t>
        </is>
      </c>
      <c r="F79" s="756" t="inlineStr">
        <is>
          <t>b.5</t>
        </is>
      </c>
      <c r="G79" s="682" t="inlineStr">
        <is>
          <t>Viajes RRCC</t>
        </is>
      </c>
      <c r="H79" s="686" t="n"/>
    </row>
    <row r="80" ht="14" customHeight="1" s="549">
      <c r="A80" s="681" t="n"/>
      <c r="B80" s="733" t="inlineStr">
        <is>
          <t>9.</t>
        </is>
      </c>
      <c r="C80" s="688" t="inlineStr">
        <is>
          <t>Viajes Gestión Técnica</t>
        </is>
      </c>
      <c r="D80" s="733" t="inlineStr">
        <is>
          <t>25.11/25.13</t>
        </is>
      </c>
      <c r="E80" s="688" t="inlineStr">
        <is>
          <t>Combustible / Viajes</t>
        </is>
      </c>
      <c r="F80" s="733" t="inlineStr">
        <is>
          <t>b.5</t>
        </is>
      </c>
      <c r="G80" s="688" t="inlineStr">
        <is>
          <t>Viajes GT</t>
        </is>
      </c>
      <c r="H80" s="681" t="n"/>
    </row>
    <row r="81" ht="14" customHeight="1" s="549">
      <c r="A81" s="686" t="n"/>
      <c r="B81" s="756" t="inlineStr">
        <is>
          <t>9.1</t>
        </is>
      </c>
      <c r="C81" s="682" t="inlineStr">
        <is>
          <t>Traslados de personal</t>
        </is>
      </c>
      <c r="D81" s="756" t="inlineStr">
        <is>
          <t>25.13</t>
        </is>
      </c>
      <c r="E81" s="682" t="inlineStr">
        <is>
          <t>Viajes (billetes, vuelos, hoteles, otros)</t>
        </is>
      </c>
      <c r="F81" s="756" t="inlineStr">
        <is>
          <t>b.5</t>
        </is>
      </c>
      <c r="G81" s="682" t="inlineStr">
        <is>
          <t>Viajes GT</t>
        </is>
      </c>
      <c r="H81" s="686" t="n"/>
    </row>
    <row r="82" ht="14" customHeight="1" s="549">
      <c r="A82" s="681" t="n"/>
      <c r="B82" s="733" t="inlineStr">
        <is>
          <t>9.2</t>
        </is>
      </c>
      <c r="C82" s="688" t="inlineStr">
        <is>
          <t>Alojamiento</t>
        </is>
      </c>
      <c r="D82" s="733" t="inlineStr">
        <is>
          <t>25.13</t>
        </is>
      </c>
      <c r="E82" s="688" t="inlineStr">
        <is>
          <t>Viajes (billetes, vuelos, hoteles, otros)</t>
        </is>
      </c>
      <c r="F82" s="733" t="inlineStr">
        <is>
          <t>b.5</t>
        </is>
      </c>
      <c r="G82" s="688" t="inlineStr">
        <is>
          <t>Viajes GT</t>
        </is>
      </c>
      <c r="H82" s="681" t="n"/>
    </row>
    <row r="83" ht="14" customHeight="1" s="549">
      <c r="A83" s="686" t="n"/>
      <c r="B83" s="756" t="inlineStr">
        <is>
          <t>9.3</t>
        </is>
      </c>
      <c r="C83" s="682" t="inlineStr">
        <is>
          <t>Alimentación</t>
        </is>
      </c>
      <c r="D83" s="756" t="inlineStr">
        <is>
          <t>25.13</t>
        </is>
      </c>
      <c r="E83" s="682" t="inlineStr">
        <is>
          <t>Viajes (billetes, vuelos, hoteles, otros)</t>
        </is>
      </c>
      <c r="F83" s="756" t="inlineStr">
        <is>
          <t>b.5</t>
        </is>
      </c>
      <c r="G83" s="682" t="inlineStr">
        <is>
          <t>Viajes GT</t>
        </is>
      </c>
      <c r="H83" s="686" t="n"/>
    </row>
    <row r="84" ht="14" customHeight="1" s="549">
      <c r="A84" s="681" t="n"/>
      <c r="B84" s="733" t="inlineStr">
        <is>
          <t>9.4</t>
        </is>
      </c>
      <c r="C84" s="688" t="inlineStr">
        <is>
          <t>Combustible arriendo diario</t>
        </is>
      </c>
      <c r="D84" s="733" t="inlineStr">
        <is>
          <t>25.11</t>
        </is>
      </c>
      <c r="E84" s="688" t="inlineStr">
        <is>
          <t>Suministro de combustible para vehículos</t>
        </is>
      </c>
      <c r="F84" s="733" t="inlineStr">
        <is>
          <t>b.5</t>
        </is>
      </c>
      <c r="G84" s="688" t="inlineStr">
        <is>
          <t>Viajes GT</t>
        </is>
      </c>
      <c r="H84" s="681" t="n"/>
    </row>
    <row r="85" ht="14" customHeight="1" s="549">
      <c r="A85" s="686" t="n"/>
      <c r="B85" s="756" t="inlineStr">
        <is>
          <t>9.5</t>
        </is>
      </c>
      <c r="C85" s="682" t="inlineStr">
        <is>
          <t>Combustible arriendo mensual</t>
        </is>
      </c>
      <c r="D85" s="756" t="inlineStr">
        <is>
          <t>25.11</t>
        </is>
      </c>
      <c r="E85" s="682" t="inlineStr">
        <is>
          <t>Suministro de combustible para vehículos</t>
        </is>
      </c>
      <c r="F85" s="756" t="inlineStr">
        <is>
          <t>b.5</t>
        </is>
      </c>
      <c r="G85" s="682" t="inlineStr">
        <is>
          <t>Viajes GT</t>
        </is>
      </c>
      <c r="H85" s="686" t="n"/>
    </row>
    <row r="86" ht="14" customHeight="1" s="549">
      <c r="A86" s="681" t="n"/>
      <c r="B86" s="733" t="inlineStr">
        <is>
          <t>9.6</t>
        </is>
      </c>
      <c r="C86" s="688" t="inlineStr">
        <is>
          <t>Peajes</t>
        </is>
      </c>
      <c r="D86" s="733" t="inlineStr">
        <is>
          <t>25.13</t>
        </is>
      </c>
      <c r="E86" s="688" t="inlineStr">
        <is>
          <t>Viajes (billetes, vuelos, hoteles, otros)</t>
        </is>
      </c>
      <c r="F86" s="733" t="inlineStr">
        <is>
          <t>b.5</t>
        </is>
      </c>
      <c r="G86" s="688" t="inlineStr">
        <is>
          <t>Viajes GT</t>
        </is>
      </c>
      <c r="H86" s="681" t="n"/>
    </row>
    <row r="87" ht="14" customHeight="1" s="549">
      <c r="A87" s="686" t="n"/>
      <c r="B87" s="756" t="inlineStr">
        <is>
          <t>10.</t>
        </is>
      </c>
      <c r="C87" s="682" t="inlineStr">
        <is>
          <t>Gastos Varios</t>
        </is>
      </c>
      <c r="D87" s="756" t="inlineStr">
        <is>
          <t>25.x</t>
        </is>
      </c>
      <c r="E87" s="682" t="inlineStr">
        <is>
          <t>Gastos varios (9/14)</t>
        </is>
      </c>
      <c r="F87" s="756" t="inlineStr">
        <is>
          <t>b.6</t>
        </is>
      </c>
      <c r="G87" s="682" t="inlineStr">
        <is>
          <t>Otros gastos</t>
        </is>
      </c>
      <c r="H87" s="686" t="n"/>
    </row>
    <row r="88" ht="14" customHeight="1" s="549">
      <c r="A88" s="681" t="n"/>
      <c r="B88" s="733" t="inlineStr">
        <is>
          <t>10.1</t>
        </is>
      </c>
      <c r="C88" s="688" t="inlineStr">
        <is>
          <t>Servicios bancarios y Similares</t>
        </is>
      </c>
      <c r="D88" s="733" t="inlineStr">
        <is>
          <t>25.9</t>
        </is>
      </c>
      <c r="E88" s="688" t="inlineStr">
        <is>
          <t>Gastos y comisiones bancarias</t>
        </is>
      </c>
      <c r="F88" s="733" t="inlineStr">
        <is>
          <t>b.6</t>
        </is>
      </c>
      <c r="G88" s="688" t="inlineStr">
        <is>
          <t>Otros gastos</t>
        </is>
      </c>
      <c r="H88" s="681" t="n"/>
    </row>
    <row r="89" ht="14" customHeight="1" s="549">
      <c r="A89" s="686" t="n"/>
      <c r="B89" s="756" t="inlineStr">
        <is>
          <t>10.2</t>
        </is>
      </c>
      <c r="C89" s="682" t="inlineStr">
        <is>
          <t>Mensajerias (Correo de Chile)</t>
        </is>
      </c>
      <c r="D89" s="756" t="inlineStr">
        <is>
          <t>25.7</t>
        </is>
      </c>
      <c r="E89" s="682" t="inlineStr">
        <is>
          <t>Correo, mensajería, transporte equipos</t>
        </is>
      </c>
      <c r="F89" s="756" t="inlineStr">
        <is>
          <t>b.6</t>
        </is>
      </c>
      <c r="G89" s="682" t="inlineStr">
        <is>
          <t>Otros gastos</t>
        </is>
      </c>
      <c r="H89" s="686" t="n"/>
    </row>
    <row r="90" ht="14" customHeight="1" s="549">
      <c r="A90" s="681" t="n"/>
      <c r="B90" s="733" t="inlineStr">
        <is>
          <t>10.3</t>
        </is>
      </c>
      <c r="C90" s="688" t="inlineStr">
        <is>
          <t>Impresión de manuales</t>
        </is>
      </c>
      <c r="D90" s="733" t="inlineStr">
        <is>
          <t>25.14</t>
        </is>
      </c>
      <c r="E90" s="688" t="inlineStr">
        <is>
          <t>Otros servicios (resto)</t>
        </is>
      </c>
      <c r="F90" s="733" t="inlineStr">
        <is>
          <t>b.6</t>
        </is>
      </c>
      <c r="G90" s="688" t="inlineStr">
        <is>
          <t>Otros gastos</t>
        </is>
      </c>
      <c r="H90" s="681" t="n"/>
    </row>
    <row r="91" ht="14" customHeight="1" s="549">
      <c r="A91" s="686" t="n"/>
      <c r="B91" s="756" t="inlineStr">
        <is>
          <t>10.4</t>
        </is>
      </c>
      <c r="C91" s="682" t="inlineStr">
        <is>
          <t>Mantención y reparación de Vehículos</t>
        </is>
      </c>
      <c r="D91" s="756" t="inlineStr">
        <is>
          <t>25.14</t>
        </is>
      </c>
      <c r="E91" s="682" t="inlineStr">
        <is>
          <t>Otros servicios (resto)</t>
        </is>
      </c>
      <c r="F91" s="756" t="inlineStr">
        <is>
          <t>b.6</t>
        </is>
      </c>
      <c r="G91" s="682" t="inlineStr">
        <is>
          <t>Otros gastos</t>
        </is>
      </c>
      <c r="H91" s="686" t="n"/>
    </row>
    <row r="92" ht="14" customHeight="1" s="549">
      <c r="A92" s="681" t="n"/>
      <c r="B92" s="733" t="inlineStr">
        <is>
          <t>10.5</t>
        </is>
      </c>
      <c r="C92" s="688" t="inlineStr">
        <is>
          <t>Otros varios</t>
        </is>
      </c>
      <c r="D92" s="733" t="inlineStr">
        <is>
          <t>25.14</t>
        </is>
      </c>
      <c r="E92" s="688" t="inlineStr">
        <is>
          <t>Otros servicios (resto)</t>
        </is>
      </c>
      <c r="F92" s="733" t="inlineStr">
        <is>
          <t>b.6</t>
        </is>
      </c>
      <c r="G92" s="688" t="inlineStr">
        <is>
          <t>Otros gastos</t>
        </is>
      </c>
      <c r="H92" s="681" t="n"/>
    </row>
    <row r="93"/>
    <row r="94" ht="14" customHeight="1" s="549">
      <c r="A94" s="693" t="inlineStr">
        <is>
          <t>5.  REGLAS DE EDICIÓN Y MEJORAS PENDIENTES</t>
        </is>
      </c>
      <c r="B94" s="686" t="n"/>
      <c r="C94" s="686" t="n"/>
      <c r="D94" s="686" t="n"/>
      <c r="E94" s="686" t="n"/>
      <c r="F94" s="686" t="n"/>
      <c r="G94" s="686" t="n"/>
      <c r="H94" s="686" t="n"/>
    </row>
    <row r="95" ht="14" customHeight="1" s="549">
      <c r="A95" s="681" t="n"/>
      <c r="B95" s="733" t="inlineStr">
        <is>
          <t>🟢 REGLA 1</t>
        </is>
      </c>
      <c r="C95" s="688" t="inlineStr">
        <is>
          <t>Solo se edita en Supuestos</t>
        </is>
      </c>
      <c r="D95" s="688" t="inlineStr">
        <is>
          <t>Todos los precios unitarios, tasas de cambio y cantidades se modifican únicamente en Supuestos. Las columnas R y S (Código Analítica / Cashflow) también están ahí para referencia directa.</t>
        </is>
      </c>
      <c r="E95" s="681" t="n"/>
      <c r="F95" s="681" t="n"/>
      <c r="G95" s="681" t="n"/>
      <c r="H95" s="681" t="n"/>
    </row>
    <row r="96" ht="14" customHeight="1" s="549">
      <c r="A96" s="686" t="n"/>
      <c r="B96" s="756" t="inlineStr">
        <is>
          <t>🟢 REGLA 2</t>
        </is>
      </c>
      <c r="C96" s="682" t="inlineStr">
        <is>
          <t>Factores de distribución mensual</t>
        </is>
      </c>
      <c r="D96" s="682" t="inlineStr">
        <is>
          <t>Si cambia el cronograma de instalaciones, se actualizan los factores en la tabla inferior de Flujo Neto Y en la tabla equivalente de Flujo Bruto. La suma de factores por ítem debe igualar la cantidad total.</t>
        </is>
      </c>
      <c r="E96" s="686" t="n"/>
      <c r="F96" s="686" t="n"/>
      <c r="G96" s="686" t="n"/>
      <c r="H96" s="686" t="n"/>
    </row>
    <row r="97" ht="14" customHeight="1" s="549">
      <c r="A97" s="681" t="n"/>
      <c r="B97" s="733" t="inlineStr">
        <is>
          <t>🟢 REGLA 3</t>
        </is>
      </c>
      <c r="C97" s="688" t="inlineStr">
        <is>
          <t>Analítica y Cashflow son inamovibles</t>
        </is>
      </c>
      <c r="D97" s="688" t="inlineStr">
        <is>
          <t>Formato corporativo ACCIONA. No agregar ni eliminar filas ni columnas. Si hay un ítem nuevo sin código asignado, coordinar con el equipo financiero antes de incorporarlo.</t>
        </is>
      </c>
      <c r="E97" s="681" t="n"/>
      <c r="F97" s="681" t="n"/>
      <c r="G97" s="681" t="n"/>
      <c r="H97" s="681" t="n"/>
    </row>
    <row r="98" ht="14" customHeight="1" s="549">
      <c r="A98" s="686" t="n"/>
      <c r="B98" s="756" t="inlineStr">
        <is>
          <t>🔴 RESTRICCIÓN</t>
        </is>
      </c>
      <c r="C98" s="682" t="inlineStr">
        <is>
          <t>No agregar filas en Flujo Neto/Bruto sin actualizar Analítica</t>
        </is>
      </c>
      <c r="D98" s="682" t="inlineStr">
        <is>
          <t>Si se agrega un ítem nuevo, los rangos SUM() en Analítica (ej. H6:H10) pueden quedar incompletos. Verificar que el rango incluye la fila nueva antes de guardar.</t>
        </is>
      </c>
      <c r="E98" s="686" t="n"/>
      <c r="F98" s="686" t="n"/>
      <c r="G98" s="686" t="n"/>
      <c r="H98" s="686" t="n"/>
    </row>
    <row r="99" ht="14" customHeight="1" s="549">
      <c r="A99" s="681" t="n"/>
      <c r="B99" s="733" t="inlineStr">
        <is>
          <t>🟡 MEJORA A</t>
        </is>
      </c>
      <c r="C99" s="688" t="inlineStr">
        <is>
          <t>Validación automática en Guía Maestra</t>
        </is>
      </c>
      <c r="D99" s="688" t="inlineStr">
        <is>
          <t>Agregar fórmulas en Sección 1 que lean directamente el total de Analítica y Cashflow para verificar que coinciden con los valores de control. Ej: =Analitica!AF_total con condicional de color.</t>
        </is>
      </c>
      <c r="E99" s="681" t="n"/>
      <c r="F99" s="681" t="n"/>
      <c r="G99" s="681" t="n"/>
      <c r="H99" s="681" t="n"/>
    </row>
    <row r="100" ht="14" customHeight="1" s="549">
      <c r="A100" s="686" t="n"/>
      <c r="B100" s="756" t="inlineStr">
        <is>
          <t>🟡 MEJORA B</t>
        </is>
      </c>
      <c r="C100" s="682" t="inlineStr">
        <is>
          <t>Protección de hojas</t>
        </is>
      </c>
      <c r="D100" s="682" t="inlineStr">
        <is>
          <t>Proteger con contraseña Flujo Neto, Flujo Bruto, Analítica y Cashflow (Revisar → Proteger hoja). Dejar solo Supuestos y Analisis Tecnicos editables, evitando modificaciones accidentales.</t>
        </is>
      </c>
      <c r="E100" s="686" t="n"/>
      <c r="F100" s="686" t="n"/>
      <c r="G100" s="686" t="n"/>
      <c r="H100" s="686" t="n"/>
    </row>
    <row r="101"/>
    <row r="102" ht="14" customHeight="1" s="549">
      <c r="A102" s="681" t="inlineStr">
        <is>
          <t>ACTUALIZACIÓN Rev.1 — 2025-05-13</t>
        </is>
      </c>
      <c r="B102" s="681" t="n"/>
      <c r="C102" s="681" t="n"/>
      <c r="D102" s="681" t="n"/>
      <c r="E102" s="681" t="n"/>
      <c r="F102" s="681" t="n"/>
      <c r="G102" s="681" t="n"/>
      <c r="H102" s="681" t="n"/>
    </row>
    <row r="103" ht="14" customHeight="1" s="549">
      <c r="A103" s="686" t="inlineStr">
        <is>
          <t>Nueva pestaña agregada:</t>
        </is>
      </c>
      <c r="B103" s="686" t="inlineStr">
        <is>
          <t>Rendición GORE</t>
        </is>
      </c>
      <c r="C103" s="686" t="inlineStr">
        <is>
          <t>Pestaña pública de rendición en lenguaje FNDR/GORE Coquimbo</t>
        </is>
      </c>
      <c r="D103" s="686" t="inlineStr">
        <is>
          <t>Vinculada a Supuestos (K3 para monto equip+traslados GORE)</t>
        </is>
      </c>
      <c r="E103" s="686" t="n"/>
      <c r="F103" s="686" t="n"/>
      <c r="G103" s="686" t="n"/>
      <c r="H103" s="686" t="n"/>
    </row>
    <row r="104" ht="14" customHeight="1" s="549">
      <c r="A104" s="681" t="inlineStr">
        <is>
          <t>Lógica GORE:</t>
        </is>
      </c>
      <c r="B104" s="681" t="inlineStr">
        <is>
          <t>El GORE financia 100% equipos + traslados asociados = $2.001.190 (Supuestos K3)</t>
        </is>
      </c>
      <c r="C104" s="681" t="n"/>
      <c r="D104" s="681" t="n"/>
      <c r="E104" s="681" t="n"/>
      <c r="F104" s="681" t="n"/>
      <c r="G104" s="681" t="n"/>
      <c r="H104" s="681" t="n"/>
    </row>
  </sheetData>
  <mergeCells count="85">
    <mergeCell ref="G81:H81"/>
    <mergeCell ref="F33:H33"/>
    <mergeCell ref="G71:H71"/>
    <mergeCell ref="F8:H8"/>
    <mergeCell ref="D99:H99"/>
    <mergeCell ref="F31:H31"/>
    <mergeCell ref="G57:H57"/>
    <mergeCell ref="G66:H66"/>
    <mergeCell ref="F9:H9"/>
    <mergeCell ref="G68:H68"/>
    <mergeCell ref="G58:H58"/>
    <mergeCell ref="G91:H91"/>
    <mergeCell ref="G85:H85"/>
    <mergeCell ref="A13:H13"/>
    <mergeCell ref="G84:H84"/>
    <mergeCell ref="G75:H75"/>
    <mergeCell ref="F7:H7"/>
    <mergeCell ref="G44:H44"/>
    <mergeCell ref="G59:H59"/>
    <mergeCell ref="G77:H77"/>
    <mergeCell ref="G86:H86"/>
    <mergeCell ref="A24:H24"/>
    <mergeCell ref="G67:H67"/>
    <mergeCell ref="G61:H61"/>
    <mergeCell ref="G70:H70"/>
    <mergeCell ref="G48:H48"/>
    <mergeCell ref="D96:H96"/>
    <mergeCell ref="G38:H38"/>
    <mergeCell ref="F27:H27"/>
    <mergeCell ref="G62:H62"/>
    <mergeCell ref="G49:H49"/>
    <mergeCell ref="A2:H2"/>
    <mergeCell ref="G65:H65"/>
    <mergeCell ref="G88:H88"/>
    <mergeCell ref="F11:H11"/>
    <mergeCell ref="F25:H25"/>
    <mergeCell ref="G76:H76"/>
    <mergeCell ref="G90:H90"/>
    <mergeCell ref="G60:H60"/>
    <mergeCell ref="A30:H30"/>
    <mergeCell ref="G42:H42"/>
    <mergeCell ref="F32:H32"/>
    <mergeCell ref="F26:H26"/>
    <mergeCell ref="G39:H39"/>
    <mergeCell ref="D95:H95"/>
    <mergeCell ref="G37:H37"/>
    <mergeCell ref="G69:H69"/>
    <mergeCell ref="D97:H97"/>
    <mergeCell ref="G78:H78"/>
    <mergeCell ref="G87:H87"/>
    <mergeCell ref="G80:H80"/>
    <mergeCell ref="G89:H89"/>
    <mergeCell ref="G64:H64"/>
    <mergeCell ref="G79:H79"/>
    <mergeCell ref="G73:H73"/>
    <mergeCell ref="G51:H51"/>
    <mergeCell ref="F6:H6"/>
    <mergeCell ref="A35:H35"/>
    <mergeCell ref="G54:H54"/>
    <mergeCell ref="G63:H63"/>
    <mergeCell ref="G41:H41"/>
    <mergeCell ref="G50:H50"/>
    <mergeCell ref="G56:H56"/>
    <mergeCell ref="G43:H43"/>
    <mergeCell ref="G52:H52"/>
    <mergeCell ref="D100:H100"/>
    <mergeCell ref="G36:H36"/>
    <mergeCell ref="A1:H1"/>
    <mergeCell ref="A94:H94"/>
    <mergeCell ref="G82:H82"/>
    <mergeCell ref="F28:H28"/>
    <mergeCell ref="G53:H53"/>
    <mergeCell ref="G74:H74"/>
    <mergeCell ref="G83:H83"/>
    <mergeCell ref="G92:H92"/>
    <mergeCell ref="G45:H45"/>
    <mergeCell ref="A23:H23"/>
    <mergeCell ref="G55:H55"/>
    <mergeCell ref="A4:H4"/>
    <mergeCell ref="F10:H10"/>
    <mergeCell ref="G47:H47"/>
    <mergeCell ref="D98:H98"/>
    <mergeCell ref="G46:H46"/>
    <mergeCell ref="G40:H40"/>
    <mergeCell ref="G72:H72"/>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007030A0"/>
    <outlinePr summaryBelow="1" summaryRight="1"/>
    <pageSetUpPr/>
  </sheetPr>
  <dimension ref="A1:S82"/>
  <sheetViews>
    <sheetView showGridLines="0" zoomScale="115" zoomScaleNormal="115" workbookViewId="0">
      <selection activeCell="A1" sqref="A1"/>
    </sheetView>
  </sheetViews>
  <sheetFormatPr baseColWidth="10" defaultColWidth="11.42578125" defaultRowHeight="11.25"/>
  <cols>
    <col width="47" customWidth="1" style="641" min="1" max="1"/>
    <col width="19" customWidth="1" style="21" min="2" max="2"/>
    <col width="10" customWidth="1" style="641" min="3" max="3"/>
    <col width="47" customWidth="1" style="641" min="4" max="4"/>
    <col width="40" customWidth="1" style="641" min="5" max="5"/>
    <col width="25" customWidth="1" style="641" min="6" max="6"/>
    <col width="26" customWidth="1" style="641" min="7" max="7"/>
    <col width="10" customWidth="1" style="22" min="8" max="8"/>
    <col width="22" customWidth="1" style="641" min="9" max="9"/>
    <col width="16" customWidth="1" style="641" min="10" max="10"/>
    <col width="23" customWidth="1" style="641" min="11" max="11"/>
    <col width="18" customWidth="1" style="641" min="12" max="12"/>
    <col width="28" customWidth="1" style="641" min="13" max="13"/>
    <col width="25" customWidth="1" style="22" min="14" max="14"/>
    <col width="15" customWidth="1" style="641" min="15" max="15"/>
    <col width="10" customWidth="1" style="641" min="16" max="16"/>
    <col width="22" customWidth="1" style="641" min="17" max="17"/>
    <col width="15" customWidth="1" style="641" min="18" max="18"/>
    <col width="23" customWidth="1" style="641" min="19" max="19"/>
    <col width="11.42578125" customWidth="1" style="641" min="20" max="21"/>
    <col width="11.42578125" customWidth="1" style="641" min="22" max="16384"/>
  </cols>
  <sheetData>
    <row r="1" ht="20" customHeight="1" s="549">
      <c r="A1" s="746" t="inlineStr">
        <is>
          <t>SUPUESTOS FINANCIEROS — LUZ EN CASA · GORE COQUIMBO</t>
        </is>
      </c>
    </row>
    <row r="2" ht="11.25" customHeight="1" s="549"/>
    <row r="3" ht="24" customHeight="1" s="549">
      <c r="A3" s="747" t="n"/>
      <c r="B3" s="747" t="n"/>
      <c r="C3" s="747" t="n"/>
      <c r="D3" s="747" t="inlineStr">
        <is>
          <t>Cantidad Equipos a comprar</t>
        </is>
      </c>
      <c r="E3" s="747" t="n">
        <v>75</v>
      </c>
      <c r="F3" s="747" t="n"/>
      <c r="G3" s="747" t="n"/>
      <c r="H3" s="747" t="n"/>
      <c r="I3" s="747" t="n"/>
      <c r="J3" s="747" t="n"/>
      <c r="K3" s="747" t="n"/>
      <c r="L3" s="747" t="n"/>
      <c r="M3" s="747" t="n"/>
      <c r="N3" s="747" t="n"/>
      <c r="O3" s="747" t="n"/>
      <c r="P3" s="747" t="n"/>
      <c r="Q3" s="747" t="n"/>
      <c r="R3" s="747" t="n"/>
      <c r="S3" s="747" t="n"/>
    </row>
    <row r="4" ht="14" customHeight="1" s="549">
      <c r="A4" s="681" t="n"/>
      <c r="B4" s="681" t="n"/>
      <c r="C4" s="681" t="n"/>
      <c r="D4" s="694" t="inlineStr">
        <is>
          <t>Tasa de cambio USD/CLP</t>
        </is>
      </c>
      <c r="E4" s="778" t="n">
        <v>1000</v>
      </c>
      <c r="F4" s="681" t="n"/>
      <c r="G4" s="681" t="n"/>
      <c r="H4" s="681" t="n"/>
      <c r="I4" s="681" t="n"/>
      <c r="J4" s="681" t="n"/>
      <c r="K4" s="681" t="n"/>
      <c r="L4" s="681" t="n"/>
      <c r="M4" s="681" t="n"/>
      <c r="N4" s="681" t="n"/>
      <c r="O4" s="681" t="n"/>
      <c r="P4" s="681" t="n"/>
      <c r="Q4" s="681" t="n"/>
      <c r="R4" s="681" t="n"/>
      <c r="S4" s="681" t="n"/>
    </row>
    <row r="5" ht="14" customHeight="1" s="549">
      <c r="A5" s="686" t="n"/>
      <c r="B5" s="686" t="n"/>
      <c r="C5" s="686" t="n"/>
      <c r="D5" s="693" t="inlineStr">
        <is>
          <t>Cantidad Cuadrillas</t>
        </is>
      </c>
      <c r="E5" s="749" t="n">
        <v>1</v>
      </c>
      <c r="F5" s="686" t="n"/>
      <c r="G5" s="686" t="n"/>
      <c r="H5" s="686" t="n"/>
      <c r="I5" s="686" t="n"/>
      <c r="J5" s="686" t="n"/>
      <c r="K5" s="686" t="n"/>
      <c r="L5" s="686" t="n"/>
      <c r="M5" s="686" t="n"/>
      <c r="N5" s="686" t="n"/>
      <c r="O5" s="686" t="n"/>
      <c r="P5" s="686" t="n"/>
      <c r="Q5" s="686" t="n"/>
      <c r="R5" s="686" t="n"/>
      <c r="S5" s="686" t="n"/>
    </row>
    <row r="6" ht="11.25" customHeight="1" s="549"/>
    <row r="7" ht="14" customHeight="1" s="549">
      <c r="A7" s="681" t="n"/>
      <c r="B7" s="681" t="n"/>
      <c r="C7" s="681" t="n"/>
      <c r="D7" s="681" t="n"/>
      <c r="E7" s="681" t="inlineStr">
        <is>
          <t>NETO</t>
        </is>
      </c>
      <c r="F7" s="681" t="n"/>
      <c r="G7" s="681" t="inlineStr">
        <is>
          <t>BRUTO</t>
        </is>
      </c>
      <c r="H7" s="681" t="n"/>
      <c r="I7" s="681" t="inlineStr">
        <is>
          <t>NETO</t>
        </is>
      </c>
      <c r="J7" s="681" t="n"/>
      <c r="K7" s="681" t="inlineStr">
        <is>
          <t>BRUTO</t>
        </is>
      </c>
      <c r="L7" s="681" t="n"/>
      <c r="M7" s="681" t="n"/>
      <c r="N7" s="681" t="inlineStr">
        <is>
          <t>NETO</t>
        </is>
      </c>
      <c r="O7" s="681" t="n"/>
      <c r="P7" s="681" t="n"/>
      <c r="Q7" s="681" t="inlineStr">
        <is>
          <t>NETO</t>
        </is>
      </c>
      <c r="R7" s="681" t="n"/>
      <c r="S7" s="681" t="inlineStr">
        <is>
          <t>BRUTO</t>
        </is>
      </c>
    </row>
    <row r="8" ht="14" customHeight="1" s="549">
      <c r="A8" s="686" t="n"/>
      <c r="B8" s="686" t="inlineStr">
        <is>
          <t>Forma pago</t>
        </is>
      </c>
      <c r="C8" s="683" t="inlineStr">
        <is>
          <t>Nivel</t>
        </is>
      </c>
      <c r="D8" s="682" t="inlineStr">
        <is>
          <t>Item</t>
        </is>
      </c>
      <c r="E8" s="683" t="inlineStr">
        <is>
          <t>Valor unitario CLP NETO</t>
        </is>
      </c>
      <c r="F8" s="683" t="inlineStr">
        <is>
          <t>IVA</t>
        </is>
      </c>
      <c r="G8" s="683" t="inlineStr">
        <is>
          <t>Valor unitario CLP BRUTO</t>
        </is>
      </c>
      <c r="H8" s="756" t="inlineStr">
        <is>
          <t>Cantidad</t>
        </is>
      </c>
      <c r="I8" s="683" t="inlineStr">
        <is>
          <t>Valor total CLP NETO</t>
        </is>
      </c>
      <c r="J8" s="683" t="inlineStr">
        <is>
          <t>IVA</t>
        </is>
      </c>
      <c r="K8" s="683" t="inlineStr">
        <is>
          <t>Valor total CLP BRUTO</t>
        </is>
      </c>
      <c r="L8" s="756" t="inlineStr">
        <is>
          <t>Código
Analítica</t>
        </is>
      </c>
      <c r="M8" s="756" t="inlineStr">
        <is>
          <t>Código
Cashflow</t>
        </is>
      </c>
      <c r="N8" s="683" t="inlineStr">
        <is>
          <t>Valor unitario USD NETO</t>
        </is>
      </c>
      <c r="O8" s="683" t="inlineStr">
        <is>
          <t>IVA</t>
        </is>
      </c>
      <c r="P8" s="756" t="inlineStr">
        <is>
          <t>Cantidad</t>
        </is>
      </c>
      <c r="Q8" s="683" t="inlineStr">
        <is>
          <t>Valor total USD NETO</t>
        </is>
      </c>
      <c r="R8" s="683" t="inlineStr">
        <is>
          <t>IVA</t>
        </is>
      </c>
      <c r="S8" s="683" t="inlineStr">
        <is>
          <t>Valor total USD BRUTO</t>
        </is>
      </c>
    </row>
    <row r="9" ht="14" customHeight="1" s="549">
      <c r="A9" s="681" t="n"/>
      <c r="B9" s="681" t="n"/>
      <c r="C9" s="712" t="n">
        <v>1</v>
      </c>
      <c r="D9" s="688" t="inlineStr">
        <is>
          <t>Compras activables ZIMPERTEC</t>
        </is>
      </c>
      <c r="E9" s="792">
        <f>+SUM(E9:E16)</f>
        <v/>
      </c>
      <c r="F9" s="792">
        <f>+SUM(F9:F16)</f>
        <v/>
      </c>
      <c r="G9" s="792">
        <f>+SUM(G9:G16)</f>
        <v/>
      </c>
      <c r="H9" s="818" t="n"/>
      <c r="I9" s="792">
        <f>+SUM(I9:I16)</f>
        <v/>
      </c>
      <c r="J9" s="792">
        <f>+SUM(J9:J16)</f>
        <v/>
      </c>
      <c r="K9" s="792">
        <f>+SUM(K9:K16)</f>
        <v/>
      </c>
      <c r="L9" s="730" t="inlineStr">
        <is>
          <t>21</t>
        </is>
      </c>
      <c r="M9" s="730" t="inlineStr">
        <is>
          <t>b.1 Compras activables</t>
        </is>
      </c>
      <c r="N9" s="819">
        <f>+SUM(N9:N16)</f>
        <v/>
      </c>
      <c r="O9" s="819">
        <f>+SUM(O9:O16)</f>
        <v/>
      </c>
      <c r="P9" s="733" t="n"/>
      <c r="Q9" s="819">
        <f>+SUM(Q9:Q16)</f>
        <v/>
      </c>
      <c r="R9" s="819">
        <f>+SUM(R9:R16)</f>
        <v/>
      </c>
      <c r="S9" s="819">
        <f>+SUM(S9:S16)</f>
        <v/>
      </c>
    </row>
    <row r="10" ht="14" customHeight="1" s="549">
      <c r="A10" s="686" t="n"/>
      <c r="B10" s="686" t="inlineStr">
        <is>
          <t>Factura</t>
        </is>
      </c>
      <c r="C10" s="788" t="inlineStr">
        <is>
          <t>1.1</t>
        </is>
      </c>
      <c r="D10" s="789" t="inlineStr">
        <is>
          <t>Sistemas AC</t>
        </is>
      </c>
      <c r="E10" s="790">
        <f>+N9*$E$3</f>
        <v/>
      </c>
      <c r="F10" s="790">
        <f>+E9*19%</f>
        <v/>
      </c>
      <c r="G10" s="790">
        <f>+E9+F9</f>
        <v/>
      </c>
      <c r="H10" s="820">
        <f>+$E$2</f>
        <v/>
      </c>
      <c r="I10" s="790">
        <f>+E9*H9</f>
        <v/>
      </c>
      <c r="J10" s="790">
        <f>+I9*19%</f>
        <v/>
      </c>
      <c r="K10" s="790">
        <f>+SUM(I9:J9)</f>
        <v/>
      </c>
      <c r="L10" s="757" t="inlineStr">
        <is>
          <t>21.1</t>
        </is>
      </c>
      <c r="M10" s="757" t="inlineStr">
        <is>
          <t>b.1 Compras activables</t>
        </is>
      </c>
      <c r="N10" s="821" t="n">
        <v>1300.63</v>
      </c>
      <c r="O10" s="821">
        <f>+N9*19%</f>
        <v/>
      </c>
      <c r="P10" s="820">
        <f>+$E$2</f>
        <v/>
      </c>
      <c r="Q10" s="822">
        <f>+P9*N9</f>
        <v/>
      </c>
      <c r="R10" s="822">
        <f>+Q9*19%</f>
        <v/>
      </c>
      <c r="S10" s="822">
        <f>+Q9+R9</f>
        <v/>
      </c>
    </row>
    <row r="11" ht="14" customHeight="1" s="549">
      <c r="A11" s="681" t="n"/>
      <c r="B11" s="681" t="inlineStr">
        <is>
          <t>Factura</t>
        </is>
      </c>
      <c r="C11" s="783" t="inlineStr">
        <is>
          <t>1.2</t>
        </is>
      </c>
      <c r="D11" s="784" t="inlineStr">
        <is>
          <t xml:space="preserve">Paneles </t>
        </is>
      </c>
      <c r="E11" s="785">
        <f>+N10*$E$3</f>
        <v/>
      </c>
      <c r="F11" s="785">
        <f>+E10*19%</f>
        <v/>
      </c>
      <c r="G11" s="785">
        <f>+E10+F10</f>
        <v/>
      </c>
      <c r="H11" s="823">
        <f>+H9*2</f>
        <v/>
      </c>
      <c r="I11" s="785">
        <f>+E10*H10</f>
        <v/>
      </c>
      <c r="J11" s="785">
        <f>+I10*19%</f>
        <v/>
      </c>
      <c r="K11" s="785">
        <f>+SUM(I10:J10)</f>
        <v/>
      </c>
      <c r="L11" s="730" t="inlineStr">
        <is>
          <t>21.1</t>
        </is>
      </c>
      <c r="M11" s="730" t="inlineStr">
        <is>
          <t>b.1 Compras activables</t>
        </is>
      </c>
      <c r="N11" s="824" t="n">
        <v>75</v>
      </c>
      <c r="O11" s="824">
        <f>+N10*19%</f>
        <v/>
      </c>
      <c r="P11" s="823">
        <f>+P9*2</f>
        <v/>
      </c>
      <c r="Q11" s="825">
        <f>+P10*N10</f>
        <v/>
      </c>
      <c r="R11" s="825">
        <f>+Q10*19%</f>
        <v/>
      </c>
      <c r="S11" s="825">
        <f>+Q10+R10</f>
        <v/>
      </c>
    </row>
    <row r="12" ht="14" customHeight="1" s="549">
      <c r="A12" s="686" t="n"/>
      <c r="B12" s="686" t="inlineStr">
        <is>
          <t>Factura</t>
        </is>
      </c>
      <c r="C12" s="788" t="inlineStr">
        <is>
          <t>1.3</t>
        </is>
      </c>
      <c r="D12" s="789" t="inlineStr">
        <is>
          <t>Lamparas</t>
        </is>
      </c>
      <c r="E12" s="790">
        <f>+N11*$E$3</f>
        <v/>
      </c>
      <c r="F12" s="790">
        <f>+E11*19%</f>
        <v/>
      </c>
      <c r="G12" s="790">
        <f>+E11+F11</f>
        <v/>
      </c>
      <c r="H12" s="820">
        <f>+H9*3</f>
        <v/>
      </c>
      <c r="I12" s="790">
        <f>+E11*H11</f>
        <v/>
      </c>
      <c r="J12" s="790">
        <f>+I11*19%</f>
        <v/>
      </c>
      <c r="K12" s="790">
        <f>+SUM(I11:J11)</f>
        <v/>
      </c>
      <c r="L12" s="757" t="inlineStr">
        <is>
          <t>21.1</t>
        </is>
      </c>
      <c r="M12" s="757" t="inlineStr">
        <is>
          <t>b.1 Compras activables</t>
        </is>
      </c>
      <c r="N12" s="821" t="n">
        <v>7.82</v>
      </c>
      <c r="O12" s="821">
        <f>+N11*19%</f>
        <v/>
      </c>
      <c r="P12" s="820">
        <f>+P9*3</f>
        <v/>
      </c>
      <c r="Q12" s="822">
        <f>+P11*N11</f>
        <v/>
      </c>
      <c r="R12" s="822">
        <f>+Q11*19%</f>
        <v/>
      </c>
      <c r="S12" s="822">
        <f>+Q11+R11</f>
        <v/>
      </c>
    </row>
    <row r="13" ht="14" customHeight="1" s="549">
      <c r="A13" s="681" t="n"/>
      <c r="B13" s="681" t="inlineStr">
        <is>
          <t>Factura</t>
        </is>
      </c>
      <c r="C13" s="783" t="inlineStr">
        <is>
          <t>1.4</t>
        </is>
      </c>
      <c r="D13" s="784" t="inlineStr">
        <is>
          <t>Hardware Monitoreo</t>
        </is>
      </c>
      <c r="E13" s="785">
        <f>+N12*$E$3</f>
        <v/>
      </c>
      <c r="F13" s="785">
        <f>+E12*19%</f>
        <v/>
      </c>
      <c r="G13" s="785">
        <f>+E12+F12</f>
        <v/>
      </c>
      <c r="H13" s="823" t="n">
        <v>0</v>
      </c>
      <c r="I13" s="785">
        <f>+E12*H12</f>
        <v/>
      </c>
      <c r="J13" s="785">
        <f>+I12*19%</f>
        <v/>
      </c>
      <c r="K13" s="785">
        <f>+SUM(I12:J12)</f>
        <v/>
      </c>
      <c r="L13" s="730" t="inlineStr">
        <is>
          <t>21.1</t>
        </is>
      </c>
      <c r="M13" s="730" t="inlineStr">
        <is>
          <t>b.1 Compras activables</t>
        </is>
      </c>
      <c r="N13" s="824" t="n">
        <v>39.51</v>
      </c>
      <c r="O13" s="824">
        <f>+N12*19%</f>
        <v/>
      </c>
      <c r="P13" s="823" t="n">
        <v>0</v>
      </c>
      <c r="Q13" s="825">
        <f>+P12*N12</f>
        <v/>
      </c>
      <c r="R13" s="825">
        <f>+Q12*19%</f>
        <v/>
      </c>
      <c r="S13" s="825">
        <f>+Q12+R12</f>
        <v/>
      </c>
    </row>
    <row r="14" ht="14" customHeight="1" s="549">
      <c r="A14" s="686" t="n"/>
      <c r="B14" s="686" t="inlineStr">
        <is>
          <t>Factura</t>
        </is>
      </c>
      <c r="C14" s="788" t="inlineStr">
        <is>
          <t>1.5</t>
        </is>
      </c>
      <c r="D14" s="789" t="inlineStr">
        <is>
          <t>Software Monitoreo</t>
        </is>
      </c>
      <c r="E14" s="790">
        <f>+N13*$E$3</f>
        <v/>
      </c>
      <c r="F14" s="790">
        <f>+E13*19%</f>
        <v/>
      </c>
      <c r="G14" s="790">
        <f>+E13+F13</f>
        <v/>
      </c>
      <c r="H14" s="820" t="n">
        <v>0</v>
      </c>
      <c r="I14" s="790">
        <f>+E13*H13</f>
        <v/>
      </c>
      <c r="J14" s="790">
        <f>+I13*19%</f>
        <v/>
      </c>
      <c r="K14" s="790">
        <f>+SUM(I13:J13)</f>
        <v/>
      </c>
      <c r="L14" s="757" t="inlineStr">
        <is>
          <t>21.1</t>
        </is>
      </c>
      <c r="M14" s="757" t="inlineStr">
        <is>
          <t>b.1 Compras activables</t>
        </is>
      </c>
      <c r="N14" s="821" t="n">
        <v>60.01</v>
      </c>
      <c r="O14" s="821">
        <f>+N13*19%</f>
        <v/>
      </c>
      <c r="P14" s="820" t="n">
        <v>0</v>
      </c>
      <c r="Q14" s="822">
        <f>+P13*N13</f>
        <v/>
      </c>
      <c r="R14" s="822">
        <f>+Q13*19%</f>
        <v/>
      </c>
      <c r="S14" s="822">
        <f>+Q13+R13</f>
        <v/>
      </c>
    </row>
    <row r="15" ht="14" customHeight="1" s="549">
      <c r="A15" s="681" t="n"/>
      <c r="B15" s="681" t="inlineStr">
        <is>
          <t>Factura</t>
        </is>
      </c>
      <c r="C15" s="783" t="inlineStr">
        <is>
          <t>1.6</t>
        </is>
      </c>
      <c r="D15" s="784" t="inlineStr">
        <is>
          <t>Repuestos</t>
        </is>
      </c>
      <c r="E15" s="785">
        <f>+N14*$E$3</f>
        <v/>
      </c>
      <c r="F15" s="785">
        <f>+E14*19%</f>
        <v/>
      </c>
      <c r="G15" s="785">
        <f>+E14+F14</f>
        <v/>
      </c>
      <c r="H15" s="823" t="n">
        <v>0</v>
      </c>
      <c r="I15" s="785">
        <f>+E14*H14</f>
        <v/>
      </c>
      <c r="J15" s="785">
        <f>+I14*19%</f>
        <v/>
      </c>
      <c r="K15" s="785">
        <f>+SUM(I14:J14)</f>
        <v/>
      </c>
      <c r="L15" s="730" t="inlineStr">
        <is>
          <t>22.2</t>
        </is>
      </c>
      <c r="M15" s="730" t="inlineStr">
        <is>
          <t>b.2 Compras inventariables</t>
        </is>
      </c>
      <c r="N15" s="824" t="n">
        <v>6209</v>
      </c>
      <c r="O15" s="824">
        <f>+N14*19%</f>
        <v/>
      </c>
      <c r="P15" s="823" t="n">
        <v>1</v>
      </c>
      <c r="Q15" s="825">
        <f>+P14*N14</f>
        <v/>
      </c>
      <c r="R15" s="825">
        <f>+Q14*19%</f>
        <v/>
      </c>
      <c r="S15" s="825">
        <f>+Q14+R14</f>
        <v/>
      </c>
    </row>
    <row r="16" ht="14" customHeight="1" s="549">
      <c r="A16" s="686" t="n"/>
      <c r="B16" s="686" t="inlineStr">
        <is>
          <t>Factura</t>
        </is>
      </c>
      <c r="C16" s="788" t="inlineStr">
        <is>
          <t>1.7</t>
        </is>
      </c>
      <c r="D16" s="789" t="inlineStr">
        <is>
          <t>Flete</t>
        </is>
      </c>
      <c r="E16" s="790">
        <f>+N15*$E$3</f>
        <v/>
      </c>
      <c r="F16" s="790">
        <f>+E15*19%</f>
        <v/>
      </c>
      <c r="G16" s="790">
        <f>+E15+F15</f>
        <v/>
      </c>
      <c r="H16" s="820" t="n">
        <v>1</v>
      </c>
      <c r="I16" s="790">
        <f>+E15*H15</f>
        <v/>
      </c>
      <c r="J16" s="790" t="n"/>
      <c r="K16" s="790">
        <f>+SUM(I15:J15)</f>
        <v/>
      </c>
      <c r="L16" s="757" t="inlineStr">
        <is>
          <t>25.7</t>
        </is>
      </c>
      <c r="M16" s="757" t="inlineStr">
        <is>
          <t>b.7 Transporte equipos</t>
        </is>
      </c>
      <c r="N16" s="821">
        <f>8800*1.25</f>
        <v/>
      </c>
      <c r="O16" s="821">
        <f>+N15*19%</f>
        <v/>
      </c>
      <c r="P16" s="820" t="n">
        <v>1</v>
      </c>
      <c r="Q16" s="822">
        <f>+P15*N15</f>
        <v/>
      </c>
      <c r="R16" s="822">
        <f>+Q15*19%</f>
        <v/>
      </c>
      <c r="S16" s="822">
        <f>+Q15+R15</f>
        <v/>
      </c>
    </row>
    <row r="17" ht="14" customHeight="1" s="549">
      <c r="A17" s="681" t="n"/>
      <c r="B17" s="681" t="inlineStr">
        <is>
          <t>Factura</t>
        </is>
      </c>
      <c r="C17" s="783" t="inlineStr">
        <is>
          <t>7.2</t>
        </is>
      </c>
      <c r="D17" s="784" t="inlineStr">
        <is>
          <t>Transporte DESCONSOLIDADO</t>
        </is>
      </c>
      <c r="E17" s="785" t="n">
        <v>3565000</v>
      </c>
      <c r="F17" s="785">
        <f>+E16*19%</f>
        <v/>
      </c>
      <c r="G17" s="785">
        <f>+E16+F16</f>
        <v/>
      </c>
      <c r="H17" s="823" t="n">
        <v>1</v>
      </c>
      <c r="I17" s="785">
        <f>+E16*H16</f>
        <v/>
      </c>
      <c r="J17" s="785">
        <f>+I16*19%</f>
        <v/>
      </c>
      <c r="K17" s="785">
        <f>+SUM(I16:J16)</f>
        <v/>
      </c>
      <c r="L17" s="730" t="inlineStr">
        <is>
          <t>25.7</t>
        </is>
      </c>
      <c r="M17" s="730" t="inlineStr">
        <is>
          <t>b.7 Transporte</t>
        </is>
      </c>
      <c r="N17" s="681" t="n"/>
      <c r="O17" s="681" t="n"/>
      <c r="P17" s="681" t="n"/>
      <c r="Q17" s="681" t="n"/>
      <c r="R17" s="681" t="n"/>
      <c r="S17" s="681" t="n"/>
    </row>
    <row r="18" ht="14" customHeight="1" s="549">
      <c r="A18" s="686" t="n"/>
      <c r="B18" s="686" t="inlineStr">
        <is>
          <t>Factura</t>
        </is>
      </c>
      <c r="C18" s="788" t="inlineStr">
        <is>
          <t>7.5</t>
        </is>
      </c>
      <c r="D18" s="789" t="inlineStr">
        <is>
          <t>Grúa en Origen</t>
        </is>
      </c>
      <c r="E18" s="790" t="n">
        <v>747500</v>
      </c>
      <c r="F18" s="790">
        <f>+E17*19%</f>
        <v/>
      </c>
      <c r="G18" s="790">
        <f>+E17+F17</f>
        <v/>
      </c>
      <c r="H18" s="820" t="n">
        <v>1</v>
      </c>
      <c r="I18" s="790">
        <f>+E17*H17</f>
        <v/>
      </c>
      <c r="J18" s="790">
        <f>+I17*19%</f>
        <v/>
      </c>
      <c r="K18" s="790">
        <f>+SUM(I17:J17)</f>
        <v/>
      </c>
      <c r="L18" s="757" t="inlineStr">
        <is>
          <t>25.7</t>
        </is>
      </c>
      <c r="M18" s="757" t="inlineStr">
        <is>
          <t>b.7 Transporte</t>
        </is>
      </c>
      <c r="N18" s="686" t="n"/>
      <c r="O18" s="686" t="n"/>
      <c r="P18" s="686" t="n"/>
      <c r="Q18" s="686" t="n"/>
      <c r="R18" s="686" t="n"/>
      <c r="S18" s="686" t="n"/>
    </row>
    <row r="19" ht="14" customHeight="1" s="549">
      <c r="A19" s="681" t="n"/>
      <c r="B19" s="681" t="inlineStr">
        <is>
          <t>Factura</t>
        </is>
      </c>
      <c r="C19" s="783" t="inlineStr">
        <is>
          <t>7.6</t>
        </is>
      </c>
      <c r="D19" s="784" t="inlineStr">
        <is>
          <t>Grúa en Punto Destino (6 Horas)</t>
        </is>
      </c>
      <c r="E19" s="785" t="n">
        <v>747500</v>
      </c>
      <c r="F19" s="785">
        <f>+E18*19%</f>
        <v/>
      </c>
      <c r="G19" s="785">
        <f>+E18+F18</f>
        <v/>
      </c>
      <c r="H19" s="823" t="n">
        <v>1</v>
      </c>
      <c r="I19" s="785">
        <f>+E18*H18</f>
        <v/>
      </c>
      <c r="J19" s="785">
        <f>+I18*19%</f>
        <v/>
      </c>
      <c r="K19" s="785">
        <f>+SUM(I18:J18)</f>
        <v/>
      </c>
      <c r="L19" s="730" t="inlineStr">
        <is>
          <t>25.7</t>
        </is>
      </c>
      <c r="M19" s="730" t="inlineStr">
        <is>
          <t>b.7 Transporte</t>
        </is>
      </c>
      <c r="N19" s="681" t="n"/>
      <c r="O19" s="681" t="n"/>
      <c r="P19" s="681" t="n"/>
      <c r="Q19" s="681" t="n"/>
      <c r="R19" s="681" t="n"/>
      <c r="S19" s="681" t="n"/>
    </row>
    <row r="20" ht="14" customHeight="1" s="549">
      <c r="A20" s="686" t="n"/>
      <c r="B20" s="686" t="n"/>
      <c r="C20" s="771" t="n">
        <v>2</v>
      </c>
      <c r="D20" s="682" t="inlineStr">
        <is>
          <t>Insumos Instalación</t>
        </is>
      </c>
      <c r="E20" s="780">
        <f>+SUM(E20:E22)</f>
        <v/>
      </c>
      <c r="F20" s="780">
        <f>+SUM(F20:F22)</f>
        <v/>
      </c>
      <c r="G20" s="780">
        <f>+SUM(G20:G22)</f>
        <v/>
      </c>
      <c r="H20" s="780" t="n"/>
      <c r="I20" s="780">
        <f>+SUM(I20:I22)</f>
        <v/>
      </c>
      <c r="J20" s="780">
        <f>+SUM(J20:J22)</f>
        <v/>
      </c>
      <c r="K20" s="780">
        <f>+SUM(K20:K22)</f>
        <v/>
      </c>
      <c r="L20" s="757" t="inlineStr">
        <is>
          <t>23</t>
        </is>
      </c>
      <c r="M20" s="757" t="inlineStr">
        <is>
          <t>b.2 No activables</t>
        </is>
      </c>
      <c r="N20" s="686" t="n"/>
      <c r="O20" s="686" t="n"/>
      <c r="P20" s="686" t="n"/>
      <c r="Q20" s="686" t="n"/>
      <c r="R20" s="686" t="n"/>
      <c r="S20" s="686" t="n"/>
    </row>
    <row r="21" ht="14" customHeight="1" s="549">
      <c r="A21" s="681" t="n"/>
      <c r="B21" s="681" t="inlineStr">
        <is>
          <t>Factura</t>
        </is>
      </c>
      <c r="C21" s="783" t="inlineStr">
        <is>
          <t>2.1</t>
        </is>
      </c>
      <c r="D21" s="784" t="inlineStr">
        <is>
          <t>Estructura</t>
        </is>
      </c>
      <c r="E21" s="785" t="n">
        <v>40700</v>
      </c>
      <c r="F21" s="785">
        <f>+E20*19%</f>
        <v/>
      </c>
      <c r="G21" s="785">
        <f>+E20+F20</f>
        <v/>
      </c>
      <c r="H21" s="823">
        <f>+$E$2</f>
        <v/>
      </c>
      <c r="I21" s="785">
        <f>+E20*H20</f>
        <v/>
      </c>
      <c r="J21" s="785">
        <f>+I20*19%</f>
        <v/>
      </c>
      <c r="K21" s="785">
        <f>+SUM(I20:J20)</f>
        <v/>
      </c>
      <c r="L21" s="730" t="inlineStr">
        <is>
          <t>23</t>
        </is>
      </c>
      <c r="M21" s="730" t="inlineStr">
        <is>
          <t>b.2 No activables</t>
        </is>
      </c>
      <c r="N21" s="681" t="n"/>
      <c r="O21" s="681" t="n"/>
      <c r="P21" s="681" t="n"/>
      <c r="Q21" s="681" t="n"/>
      <c r="R21" s="681" t="n"/>
      <c r="S21" s="681" t="n"/>
    </row>
    <row r="22" ht="14" customHeight="1" s="549">
      <c r="A22" s="686" t="n"/>
      <c r="B22" s="686" t="inlineStr">
        <is>
          <t xml:space="preserve">Factura o Boleta </t>
        </is>
      </c>
      <c r="C22" s="788" t="inlineStr">
        <is>
          <t>2.2</t>
        </is>
      </c>
      <c r="D22" s="789" t="inlineStr">
        <is>
          <t>Materiales instalación</t>
        </is>
      </c>
      <c r="E22" s="790" t="n">
        <v>85800</v>
      </c>
      <c r="F22" s="790">
        <f>+E21*19%</f>
        <v/>
      </c>
      <c r="G22" s="790">
        <f>+E21+F21</f>
        <v/>
      </c>
      <c r="H22" s="820">
        <f>+$E$2</f>
        <v/>
      </c>
      <c r="I22" s="790">
        <f>+E21*H21</f>
        <v/>
      </c>
      <c r="J22" s="790">
        <f>+I21*19%</f>
        <v/>
      </c>
      <c r="K22" s="790">
        <f>+SUM(I21:J21)</f>
        <v/>
      </c>
      <c r="L22" s="757" t="inlineStr">
        <is>
          <t>23</t>
        </is>
      </c>
      <c r="M22" s="757" t="inlineStr">
        <is>
          <t>b.2 No activables</t>
        </is>
      </c>
      <c r="N22" s="686" t="n"/>
      <c r="O22" s="686" t="n"/>
      <c r="P22" s="686" t="n"/>
      <c r="Q22" s="686" t="n"/>
      <c r="R22" s="686" t="n"/>
      <c r="S22" s="686" t="n"/>
    </row>
    <row r="23" ht="14" customHeight="1" s="549">
      <c r="A23" s="681" t="n"/>
      <c r="B23" s="681" t="inlineStr">
        <is>
          <t xml:space="preserve">Factura o Boleta </t>
        </is>
      </c>
      <c r="C23" s="783" t="inlineStr">
        <is>
          <t>2.3</t>
        </is>
      </c>
      <c r="D23" s="784" t="inlineStr">
        <is>
          <t>Herramientas</t>
        </is>
      </c>
      <c r="E23" s="785" t="n">
        <v>1430000</v>
      </c>
      <c r="F23" s="785">
        <f>+E22*19%</f>
        <v/>
      </c>
      <c r="G23" s="785">
        <f>+E22+F22</f>
        <v/>
      </c>
      <c r="H23" s="823">
        <f>+E4</f>
        <v/>
      </c>
      <c r="I23" s="785">
        <f>+E22*H22</f>
        <v/>
      </c>
      <c r="J23" s="785">
        <f>+I22*19%</f>
        <v/>
      </c>
      <c r="K23" s="785">
        <f>+SUM(I22:J22)</f>
        <v/>
      </c>
      <c r="L23" s="730" t="inlineStr">
        <is>
          <t>23</t>
        </is>
      </c>
      <c r="M23" s="730" t="inlineStr">
        <is>
          <t>b.2 No activables</t>
        </is>
      </c>
      <c r="N23" s="681" t="n"/>
      <c r="O23" s="681" t="n"/>
      <c r="P23" s="681" t="n"/>
      <c r="Q23" s="681" t="n"/>
      <c r="R23" s="681" t="n"/>
      <c r="S23" s="681" t="n"/>
    </row>
    <row r="24" ht="14" customHeight="1" s="549">
      <c r="A24" s="686" t="n"/>
      <c r="B24" s="686" t="n"/>
      <c r="C24" s="771" t="inlineStr">
        <is>
          <t>3.</t>
        </is>
      </c>
      <c r="D24" s="682" t="inlineStr">
        <is>
          <t>Personal y Servicios</t>
        </is>
      </c>
      <c r="E24" s="780" t="n"/>
      <c r="F24" s="780" t="n"/>
      <c r="G24" s="780">
        <f>+E23+F23</f>
        <v/>
      </c>
      <c r="H24" s="780" t="n"/>
      <c r="I24" s="780" t="n"/>
      <c r="J24" s="780" t="n"/>
      <c r="K24" s="780" t="n"/>
      <c r="L24" s="757" t="inlineStr">
        <is>
          <t>24</t>
        </is>
      </c>
      <c r="M24" s="757" t="inlineStr">
        <is>
          <t>b.4 Personal</t>
        </is>
      </c>
      <c r="N24" s="686" t="n"/>
      <c r="O24" s="686" t="n"/>
      <c r="P24" s="686" t="n"/>
      <c r="Q24" s="686" t="n"/>
      <c r="R24" s="686" t="n"/>
      <c r="S24" s="686" t="n"/>
    </row>
    <row r="25" ht="14" customHeight="1" s="549">
      <c r="A25" s="681" t="n"/>
      <c r="B25" s="681" t="inlineStr">
        <is>
          <t>Costo Empresa</t>
        </is>
      </c>
      <c r="C25" s="783" t="inlineStr">
        <is>
          <t>3.1</t>
        </is>
      </c>
      <c r="D25" s="784" t="inlineStr">
        <is>
          <t>Planilla Actual</t>
        </is>
      </c>
      <c r="E25" s="785" t="n">
        <v>6195000</v>
      </c>
      <c r="F25" s="785" t="n"/>
      <c r="G25" s="785">
        <f>+E24+F24</f>
        <v/>
      </c>
      <c r="H25" s="823" t="n">
        <v>1</v>
      </c>
      <c r="I25" s="785">
        <f>+E24*H24</f>
        <v/>
      </c>
      <c r="J25" s="785" t="n"/>
      <c r="K25" s="785">
        <f>+SUM(I24:J24)</f>
        <v/>
      </c>
      <c r="L25" s="730" t="inlineStr">
        <is>
          <t>24</t>
        </is>
      </c>
      <c r="M25" s="730" t="inlineStr">
        <is>
          <t>b.4 Personal</t>
        </is>
      </c>
      <c r="N25" s="681" t="n"/>
      <c r="O25" s="681" t="n"/>
      <c r="P25" s="681" t="n"/>
      <c r="Q25" s="681" t="n"/>
      <c r="R25" s="681" t="n"/>
      <c r="S25" s="681" t="n"/>
    </row>
    <row r="26" ht="14" customHeight="1" s="549">
      <c r="A26" s="686" t="n"/>
      <c r="B26" s="686" t="inlineStr">
        <is>
          <t>Costo Empresa</t>
        </is>
      </c>
      <c r="C26" s="788" t="inlineStr">
        <is>
          <t>3.2</t>
        </is>
      </c>
      <c r="D26" s="789" t="inlineStr">
        <is>
          <t>Descarga estructura</t>
        </is>
      </c>
      <c r="E26" s="790" t="n"/>
      <c r="F26" s="790" t="n"/>
      <c r="G26" s="790">
        <f>+E25+F25</f>
        <v/>
      </c>
      <c r="H26" s="820" t="n"/>
      <c r="I26" s="790" t="n"/>
      <c r="J26" s="790" t="n"/>
      <c r="K26" s="790" t="n"/>
      <c r="L26" s="757" t="n"/>
      <c r="M26" s="757" t="n"/>
      <c r="N26" s="686" t="n"/>
      <c r="O26" s="686" t="n"/>
      <c r="P26" s="686" t="n"/>
      <c r="Q26" s="686" t="n"/>
      <c r="R26" s="686" t="n"/>
      <c r="S26" s="686" t="n"/>
    </row>
    <row r="27" ht="14" customHeight="1" s="549">
      <c r="A27" s="681" t="n"/>
      <c r="B27" s="681" t="n"/>
      <c r="C27" s="712" t="inlineStr">
        <is>
          <t>4.</t>
        </is>
      </c>
      <c r="D27" s="688" t="inlineStr">
        <is>
          <t>Servicios Profesionales</t>
        </is>
      </c>
      <c r="E27" s="792">
        <f>+SUM(E27:E34)</f>
        <v/>
      </c>
      <c r="F27" s="792">
        <f>+SUM(F27:F34)</f>
        <v/>
      </c>
      <c r="G27" s="792">
        <f>+SUM(G27:G34)</f>
        <v/>
      </c>
      <c r="H27" s="792" t="n"/>
      <c r="I27" s="792">
        <f>+SUM(I27:I34)</f>
        <v/>
      </c>
      <c r="J27" s="792">
        <f>+SUM(J27:J34)</f>
        <v/>
      </c>
      <c r="K27" s="792">
        <f>+SUM(K27:K34)</f>
        <v/>
      </c>
      <c r="L27" s="730" t="inlineStr">
        <is>
          <t>25.6</t>
        </is>
      </c>
      <c r="M27" s="730" t="inlineStr">
        <is>
          <t>b.4 Serv. profesionales</t>
        </is>
      </c>
      <c r="N27" s="681" t="n"/>
      <c r="O27" s="681" t="n"/>
      <c r="P27" s="681" t="n"/>
      <c r="Q27" s="681" t="n"/>
      <c r="R27" s="681" t="n"/>
      <c r="S27" s="681" t="n"/>
    </row>
    <row r="28" ht="14" customHeight="1" s="549">
      <c r="A28" s="686" t="n"/>
      <c r="B28" s="686" t="inlineStr">
        <is>
          <t>Boleta Honorarios</t>
        </is>
      </c>
      <c r="C28" s="788" t="inlineStr">
        <is>
          <t>4.1</t>
        </is>
      </c>
      <c r="D28" s="789" t="inlineStr">
        <is>
          <t>Encargado de Logistica y Bodega</t>
        </is>
      </c>
      <c r="E28" s="790" t="n">
        <v>1000000</v>
      </c>
      <c r="F28" s="790" t="n"/>
      <c r="G28" s="790">
        <f>+E27+F27</f>
        <v/>
      </c>
      <c r="H28" s="820" t="n">
        <v>1</v>
      </c>
      <c r="I28" s="790">
        <f>+E27*H27</f>
        <v/>
      </c>
      <c r="J28" s="790">
        <f>+I27*19%</f>
        <v/>
      </c>
      <c r="K28" s="790">
        <f>+SUM(I27:J27)</f>
        <v/>
      </c>
      <c r="L28" s="757" t="inlineStr">
        <is>
          <t>25.6</t>
        </is>
      </c>
      <c r="M28" s="757" t="inlineStr">
        <is>
          <t>b.4 Serv. profesionales</t>
        </is>
      </c>
      <c r="N28" s="686" t="n"/>
      <c r="O28" s="686" t="n"/>
      <c r="P28" s="686" t="n"/>
      <c r="Q28" s="686" t="n"/>
      <c r="R28" s="686" t="n"/>
      <c r="S28" s="686" t="n"/>
    </row>
    <row r="29" ht="14" customHeight="1" s="549">
      <c r="A29" s="681" t="n"/>
      <c r="B29" s="681" t="inlineStr">
        <is>
          <t>Boleta Honorarios</t>
        </is>
      </c>
      <c r="C29" s="783" t="inlineStr">
        <is>
          <t>4.2</t>
        </is>
      </c>
      <c r="D29" s="784" t="inlineStr">
        <is>
          <t>Técnico pago por instalación - Plan A</t>
        </is>
      </c>
      <c r="E29" s="785" t="n">
        <v>125000</v>
      </c>
      <c r="F29" s="785" t="n"/>
      <c r="G29" s="785">
        <f>+E28+F28</f>
        <v/>
      </c>
      <c r="H29" s="823" t="n">
        <v>1</v>
      </c>
      <c r="I29" s="785">
        <f>+E28*H28</f>
        <v/>
      </c>
      <c r="J29" s="785">
        <f>+I28*19%</f>
        <v/>
      </c>
      <c r="K29" s="785">
        <f>+SUM(I28:J28)</f>
        <v/>
      </c>
      <c r="L29" s="730" t="inlineStr">
        <is>
          <t>25.6</t>
        </is>
      </c>
      <c r="M29" s="730" t="inlineStr">
        <is>
          <t>b.4 Serv. profesionales</t>
        </is>
      </c>
      <c r="N29" s="681" t="n"/>
      <c r="O29" s="681" t="n"/>
      <c r="P29" s="681" t="n"/>
      <c r="Q29" s="681" t="n"/>
      <c r="R29" s="681" t="n"/>
      <c r="S29" s="681" t="n"/>
    </row>
    <row r="30" ht="14" customHeight="1" s="549">
      <c r="A30" s="686" t="n"/>
      <c r="B30" s="686" t="inlineStr">
        <is>
          <t>Boleta Honorarios</t>
        </is>
      </c>
      <c r="C30" s="788" t="inlineStr">
        <is>
          <t>4.3</t>
        </is>
      </c>
      <c r="D30" s="789" t="inlineStr">
        <is>
          <t>Técnico contrato mensual - Plan B</t>
        </is>
      </c>
      <c r="E30" s="790" t="n">
        <v>1365000</v>
      </c>
      <c r="F30" s="790" t="n"/>
      <c r="G30" s="790">
        <f>+E29+F29</f>
        <v/>
      </c>
      <c r="H30" s="820" t="n">
        <v>1</v>
      </c>
      <c r="I30" s="790">
        <f>+E29*H29</f>
        <v/>
      </c>
      <c r="J30" s="790">
        <f>+I29*19%</f>
        <v/>
      </c>
      <c r="K30" s="790">
        <f>+SUM(I29:J29)</f>
        <v/>
      </c>
      <c r="L30" s="757" t="inlineStr">
        <is>
          <t>25.6</t>
        </is>
      </c>
      <c r="M30" s="757" t="inlineStr">
        <is>
          <t>b.4 Serv. profesionales</t>
        </is>
      </c>
      <c r="N30" s="686" t="n"/>
      <c r="O30" s="686" t="n"/>
      <c r="P30" s="686" t="n"/>
      <c r="Q30" s="686" t="n"/>
      <c r="R30" s="686" t="n"/>
      <c r="S30" s="686" t="n"/>
    </row>
    <row r="31" ht="14" customHeight="1" s="549">
      <c r="A31" s="681" t="n"/>
      <c r="B31" s="681" t="inlineStr">
        <is>
          <t>Boleta Honorarios</t>
        </is>
      </c>
      <c r="C31" s="783" t="inlineStr">
        <is>
          <t>4.4</t>
        </is>
      </c>
      <c r="D31" s="784" t="inlineStr">
        <is>
          <t>Ayudante contrato mensual - Plan B</t>
        </is>
      </c>
      <c r="E31" s="785" t="n">
        <v>750000</v>
      </c>
      <c r="F31" s="785" t="n"/>
      <c r="G31" s="785">
        <f>+E30+F30</f>
        <v/>
      </c>
      <c r="H31" s="823" t="n">
        <v>1</v>
      </c>
      <c r="I31" s="785">
        <f>+E30*H30</f>
        <v/>
      </c>
      <c r="J31" s="785">
        <f>+I30*19%</f>
        <v/>
      </c>
      <c r="K31" s="785">
        <f>+SUM(I30:J30)</f>
        <v/>
      </c>
      <c r="L31" s="730" t="inlineStr">
        <is>
          <t>25.6</t>
        </is>
      </c>
      <c r="M31" s="730" t="inlineStr">
        <is>
          <t>b.4 Serv. profesionales</t>
        </is>
      </c>
      <c r="N31" s="681" t="n"/>
      <c r="O31" s="681" t="n"/>
      <c r="P31" s="681" t="n"/>
      <c r="Q31" s="681" t="n"/>
      <c r="R31" s="681" t="n"/>
      <c r="S31" s="681" t="n"/>
    </row>
    <row r="32" ht="14" customHeight="1" s="549">
      <c r="A32" s="686" t="n"/>
      <c r="B32" s="686" t="inlineStr">
        <is>
          <t>Boleta Honorarios</t>
        </is>
      </c>
      <c r="C32" s="788" t="inlineStr">
        <is>
          <t>4.5</t>
        </is>
      </c>
      <c r="D32" s="789" t="inlineStr">
        <is>
          <t>Personal apoyo Planos TE1</t>
        </is>
      </c>
      <c r="E32" s="790" t="n">
        <v>10000</v>
      </c>
      <c r="F32" s="790" t="n"/>
      <c r="G32" s="790">
        <f>+E31+F31</f>
        <v/>
      </c>
      <c r="H32" s="820" t="n">
        <v>1</v>
      </c>
      <c r="I32" s="790">
        <f>+E31*H31</f>
        <v/>
      </c>
      <c r="J32" s="790">
        <f>+I31*19%</f>
        <v/>
      </c>
      <c r="K32" s="790">
        <f>+SUM(I31:J31)</f>
        <v/>
      </c>
      <c r="L32" s="757" t="inlineStr">
        <is>
          <t>25.6</t>
        </is>
      </c>
      <c r="M32" s="757" t="inlineStr">
        <is>
          <t>b.4 Serv. profesionales</t>
        </is>
      </c>
      <c r="N32" s="686" t="n"/>
      <c r="O32" s="686" t="n"/>
      <c r="P32" s="686" t="n"/>
      <c r="Q32" s="686" t="n"/>
      <c r="R32" s="686" t="n"/>
      <c r="S32" s="686" t="n"/>
    </row>
    <row r="33" ht="14" customHeight="1" s="549">
      <c r="A33" s="681" t="n"/>
      <c r="B33" s="681" t="inlineStr">
        <is>
          <t>Boleta Honorarios</t>
        </is>
      </c>
      <c r="C33" s="783" t="inlineStr">
        <is>
          <t>4.6</t>
        </is>
      </c>
      <c r="D33" s="784" t="inlineStr">
        <is>
          <t>Encargado territorial RRCC</t>
        </is>
      </c>
      <c r="E33" s="785" t="n">
        <v>900000</v>
      </c>
      <c r="F33" s="785" t="n"/>
      <c r="G33" s="785">
        <f>+E32+F32</f>
        <v/>
      </c>
      <c r="H33" s="823" t="n"/>
      <c r="I33" s="785" t="n"/>
      <c r="J33" s="785" t="n"/>
      <c r="K33" s="785" t="n"/>
      <c r="L33" s="730" t="n"/>
      <c r="M33" s="730" t="n"/>
      <c r="N33" s="681" t="n"/>
      <c r="O33" s="681" t="n"/>
      <c r="P33" s="681" t="n"/>
      <c r="Q33" s="681" t="n"/>
      <c r="R33" s="681" t="n"/>
      <c r="S33" s="681" t="n"/>
    </row>
    <row r="34" ht="14" customHeight="1" s="549">
      <c r="A34" s="686" t="n"/>
      <c r="B34" s="686" t="inlineStr">
        <is>
          <t>Boleta Honorarios</t>
        </is>
      </c>
      <c r="C34" s="788" t="inlineStr">
        <is>
          <t>4.7</t>
        </is>
      </c>
      <c r="D34" s="789" t="inlineStr">
        <is>
          <t>Apoyo Financiero de proyecto</t>
        </is>
      </c>
      <c r="E34" s="790" t="n">
        <v>800000</v>
      </c>
      <c r="F34" s="790" t="n"/>
      <c r="G34" s="790">
        <f>+E33+F33</f>
        <v/>
      </c>
      <c r="H34" s="820" t="n"/>
      <c r="I34" s="790" t="n"/>
      <c r="J34" s="790" t="n"/>
      <c r="K34" s="790" t="n"/>
      <c r="L34" s="757" t="n"/>
      <c r="M34" s="757" t="n"/>
      <c r="N34" s="686" t="n"/>
      <c r="O34" s="686" t="n"/>
      <c r="P34" s="686" t="n"/>
      <c r="Q34" s="686" t="n"/>
      <c r="R34" s="686" t="n"/>
      <c r="S34" s="686" t="n"/>
    </row>
    <row r="35" ht="14" customHeight="1" s="549">
      <c r="A35" s="681" t="n"/>
      <c r="B35" s="681" t="inlineStr">
        <is>
          <t>Boleta Honorarios</t>
        </is>
      </c>
      <c r="C35" s="783" t="inlineStr">
        <is>
          <t>4.8</t>
        </is>
      </c>
      <c r="D35" s="784" t="n"/>
      <c r="E35" s="785" t="n"/>
      <c r="F35" s="785" t="n"/>
      <c r="G35" s="785" t="n"/>
      <c r="H35" s="823" t="n"/>
      <c r="I35" s="785" t="n"/>
      <c r="J35" s="785" t="n"/>
      <c r="K35" s="785" t="n"/>
      <c r="L35" s="730" t="n"/>
      <c r="M35" s="730" t="n"/>
      <c r="N35" s="681" t="n"/>
      <c r="O35" s="681" t="n"/>
      <c r="P35" s="681" t="n"/>
      <c r="Q35" s="681" t="n"/>
      <c r="R35" s="681" t="n"/>
      <c r="S35" s="681" t="n"/>
    </row>
    <row r="36" ht="12" customHeight="1" s="549">
      <c r="C36" s="39" t="n"/>
      <c r="D36" s="40" t="n"/>
      <c r="E36" s="826" t="n"/>
      <c r="F36" s="826" t="n"/>
      <c r="G36" s="826" t="n"/>
      <c r="H36" s="41" t="n"/>
      <c r="I36" s="826" t="n"/>
      <c r="J36" s="826" t="n"/>
      <c r="K36" s="826" t="n"/>
      <c r="L36" s="50" t="n"/>
      <c r="M36" s="51" t="n"/>
    </row>
    <row r="37" ht="14" customHeight="1" s="549">
      <c r="A37" s="686" t="n"/>
      <c r="B37" s="686" t="n"/>
      <c r="C37" s="771" t="inlineStr">
        <is>
          <t>5.</t>
        </is>
      </c>
      <c r="D37" s="682" t="inlineStr">
        <is>
          <t>Alquileres RRCC</t>
        </is>
      </c>
      <c r="E37" s="780">
        <f>+SUM(E37:E38)</f>
        <v/>
      </c>
      <c r="F37" s="780">
        <f>+SUM(F37:F38)</f>
        <v/>
      </c>
      <c r="G37" s="780">
        <f>+SUM(G37:G38)</f>
        <v/>
      </c>
      <c r="H37" s="780" t="n"/>
      <c r="I37" s="780">
        <f>+SUM(I37:I38)</f>
        <v/>
      </c>
      <c r="J37" s="780">
        <f>+SUM(J37:J38)</f>
        <v/>
      </c>
      <c r="K37" s="780">
        <f>+SUM(K37:K38)</f>
        <v/>
      </c>
      <c r="L37" s="757" t="inlineStr">
        <is>
          <t>25.1</t>
        </is>
      </c>
      <c r="M37" s="757" t="inlineStr">
        <is>
          <t>b.3 Alquileres</t>
        </is>
      </c>
      <c r="N37" s="686" t="n"/>
      <c r="O37" s="686" t="n"/>
      <c r="P37" s="686" t="n"/>
      <c r="Q37" s="686" t="n"/>
      <c r="R37" s="686" t="n"/>
      <c r="S37" s="686" t="n"/>
    </row>
    <row r="38" ht="14" customHeight="1" s="549">
      <c r="A38" s="681" t="n"/>
      <c r="B38" s="681" t="inlineStr">
        <is>
          <t>Factura</t>
        </is>
      </c>
      <c r="C38" s="783" t="inlineStr">
        <is>
          <t>5.1</t>
        </is>
      </c>
      <c r="D38" s="784" t="inlineStr">
        <is>
          <t>Arriendo vehículo diario - RRCC</t>
        </is>
      </c>
      <c r="E38" s="785" t="n">
        <v>90000</v>
      </c>
      <c r="F38" s="785">
        <f>+E37*19%</f>
        <v/>
      </c>
      <c r="G38" s="785">
        <f>+E37+F37</f>
        <v/>
      </c>
      <c r="H38" s="823" t="n">
        <v>1</v>
      </c>
      <c r="I38" s="785">
        <f>+E37*H37</f>
        <v/>
      </c>
      <c r="J38" s="785">
        <f>+I37*19%</f>
        <v/>
      </c>
      <c r="K38" s="785">
        <f>+SUM(I37:J37)</f>
        <v/>
      </c>
      <c r="L38" s="730" t="inlineStr">
        <is>
          <t>25.1</t>
        </is>
      </c>
      <c r="M38" s="730" t="inlineStr">
        <is>
          <t>b.3 Alquileres</t>
        </is>
      </c>
      <c r="N38" s="681" t="n"/>
      <c r="O38" s="681" t="n"/>
      <c r="P38" s="681" t="n"/>
      <c r="Q38" s="681" t="n"/>
      <c r="R38" s="681" t="n"/>
      <c r="S38" s="681" t="n"/>
    </row>
    <row r="39" ht="14" customHeight="1" s="549">
      <c r="A39" s="686" t="n"/>
      <c r="B39" s="686" t="inlineStr">
        <is>
          <t>Factura</t>
        </is>
      </c>
      <c r="C39" s="788" t="inlineStr">
        <is>
          <t>5.2</t>
        </is>
      </c>
      <c r="D39" s="789" t="inlineStr">
        <is>
          <t>Vehiculo RRCC</t>
        </is>
      </c>
      <c r="E39" s="790" t="n">
        <v>1400000</v>
      </c>
      <c r="F39" s="790">
        <f>+E38*19%</f>
        <v/>
      </c>
      <c r="G39" s="790">
        <f>+E38+F38</f>
        <v/>
      </c>
      <c r="H39" s="820" t="n">
        <v>1</v>
      </c>
      <c r="I39" s="790">
        <f>+E38*H38</f>
        <v/>
      </c>
      <c r="J39" s="790">
        <f>+I38*19%</f>
        <v/>
      </c>
      <c r="K39" s="790">
        <f>+SUM(I38:J38)</f>
        <v/>
      </c>
      <c r="L39" s="757" t="inlineStr">
        <is>
          <t>25.1</t>
        </is>
      </c>
      <c r="M39" s="757" t="inlineStr">
        <is>
          <t>b.3 Alquileres</t>
        </is>
      </c>
      <c r="N39" s="686" t="n"/>
      <c r="O39" s="686" t="n"/>
      <c r="P39" s="686" t="n"/>
      <c r="Q39" s="686" t="n"/>
      <c r="R39" s="686" t="n"/>
      <c r="S39" s="686" t="n"/>
    </row>
    <row r="40" ht="14" customHeight="1" s="549">
      <c r="A40" s="681" t="n"/>
      <c r="B40" s="681" t="n"/>
      <c r="C40" s="712" t="inlineStr">
        <is>
          <t>6.</t>
        </is>
      </c>
      <c r="D40" s="688" t="inlineStr">
        <is>
          <t>Alquileres Gestión Técnica</t>
        </is>
      </c>
      <c r="E40" s="792">
        <f>+SUM(E40:E43)</f>
        <v/>
      </c>
      <c r="F40" s="792">
        <f>+SUM(F40:F43)</f>
        <v/>
      </c>
      <c r="G40" s="792">
        <f>+SUM(G40:G43)</f>
        <v/>
      </c>
      <c r="H40" s="792" t="n"/>
      <c r="I40" s="792">
        <f>+SUM(I40:I43)</f>
        <v/>
      </c>
      <c r="J40" s="792">
        <f>+SUM(J40:J43)</f>
        <v/>
      </c>
      <c r="K40" s="792">
        <f>+SUM(K40:K43)</f>
        <v/>
      </c>
      <c r="L40" s="730" t="inlineStr">
        <is>
          <t>25.1/25.3</t>
        </is>
      </c>
      <c r="M40" s="730" t="inlineStr">
        <is>
          <t>b.3 Alquileres</t>
        </is>
      </c>
      <c r="N40" s="681" t="n"/>
      <c r="O40" s="681" t="n"/>
      <c r="P40" s="681" t="n"/>
      <c r="Q40" s="681" t="n"/>
      <c r="R40" s="681" t="n"/>
      <c r="S40" s="681" t="n"/>
    </row>
    <row r="41" ht="14" customHeight="1" s="549">
      <c r="A41" s="686" t="n"/>
      <c r="B41" s="686" t="inlineStr">
        <is>
          <t>Factura</t>
        </is>
      </c>
      <c r="C41" s="788" t="inlineStr">
        <is>
          <t>6.1</t>
        </is>
      </c>
      <c r="D41" s="789" t="inlineStr">
        <is>
          <t>Bodega Terreno</t>
        </is>
      </c>
      <c r="E41" s="790" t="n">
        <v>1100000</v>
      </c>
      <c r="F41" s="790">
        <f>+E40*19%</f>
        <v/>
      </c>
      <c r="G41" s="790">
        <f>+E40+F40</f>
        <v/>
      </c>
      <c r="H41" s="820" t="n">
        <v>1</v>
      </c>
      <c r="I41" s="790">
        <f>+E40*H40</f>
        <v/>
      </c>
      <c r="J41" s="790">
        <f>+I40*19%</f>
        <v/>
      </c>
      <c r="K41" s="790">
        <f>+SUM(I40:J40)</f>
        <v/>
      </c>
      <c r="L41" s="757" t="inlineStr">
        <is>
          <t>25.3</t>
        </is>
      </c>
      <c r="M41" s="757" t="inlineStr">
        <is>
          <t>b.3 Alquileres</t>
        </is>
      </c>
      <c r="N41" s="686" t="n"/>
      <c r="O41" s="686" t="n"/>
      <c r="P41" s="686" t="n"/>
      <c r="Q41" s="686" t="n"/>
      <c r="R41" s="686" t="n"/>
      <c r="S41" s="686" t="n"/>
    </row>
    <row r="42" ht="14" customHeight="1" s="549">
      <c r="A42" s="681" t="n"/>
      <c r="B42" s="681" t="inlineStr">
        <is>
          <t>Factura</t>
        </is>
      </c>
      <c r="C42" s="783" t="inlineStr">
        <is>
          <t>6.2</t>
        </is>
      </c>
      <c r="D42" s="784" t="inlineStr">
        <is>
          <t>Arriendo vehículo diario - Área Técnica</t>
        </is>
      </c>
      <c r="E42" s="785" t="n">
        <v>90000</v>
      </c>
      <c r="F42" s="785">
        <f>+E41*19%</f>
        <v/>
      </c>
      <c r="G42" s="785">
        <f>+E41+F41</f>
        <v/>
      </c>
      <c r="H42" s="823" t="n">
        <v>1</v>
      </c>
      <c r="I42" s="785">
        <f>+E41*H41</f>
        <v/>
      </c>
      <c r="J42" s="785">
        <f>+I41*19%</f>
        <v/>
      </c>
      <c r="K42" s="785">
        <f>+SUM(I41:J41)</f>
        <v/>
      </c>
      <c r="L42" s="730" t="inlineStr">
        <is>
          <t>25.1</t>
        </is>
      </c>
      <c r="M42" s="730" t="inlineStr">
        <is>
          <t>b.3 Alquileres</t>
        </is>
      </c>
      <c r="N42" s="681" t="n"/>
      <c r="O42" s="681" t="n"/>
      <c r="P42" s="681" t="n"/>
      <c r="Q42" s="681" t="n"/>
      <c r="R42" s="681" t="n"/>
      <c r="S42" s="681" t="n"/>
    </row>
    <row r="43" ht="14" customHeight="1" s="549">
      <c r="A43" s="686" t="n"/>
      <c r="B43" s="686" t="inlineStr">
        <is>
          <t>Factura</t>
        </is>
      </c>
      <c r="C43" s="788" t="inlineStr">
        <is>
          <t>6.3</t>
        </is>
      </c>
      <c r="D43" s="789" t="inlineStr">
        <is>
          <t>Vehiculo Instaladores</t>
        </is>
      </c>
      <c r="E43" s="790" t="n">
        <v>1400000</v>
      </c>
      <c r="F43" s="790">
        <f>+E42*19%</f>
        <v/>
      </c>
      <c r="G43" s="790">
        <f>+E42+F42</f>
        <v/>
      </c>
      <c r="H43" s="820" t="n">
        <v>1</v>
      </c>
      <c r="I43" s="790">
        <f>+E42*H42</f>
        <v/>
      </c>
      <c r="J43" s="790">
        <f>+I42*19%</f>
        <v/>
      </c>
      <c r="K43" s="790">
        <f>+SUM(I42:J42)</f>
        <v/>
      </c>
      <c r="L43" s="757" t="inlineStr">
        <is>
          <t>25.1</t>
        </is>
      </c>
      <c r="M43" s="757" t="inlineStr">
        <is>
          <t>b.3 Alquileres</t>
        </is>
      </c>
      <c r="N43" s="686" t="n"/>
      <c r="O43" s="686" t="n"/>
      <c r="P43" s="686" t="n"/>
      <c r="Q43" s="686" t="n"/>
      <c r="R43" s="686" t="n"/>
      <c r="S43" s="686" t="n"/>
    </row>
    <row r="44" ht="14" customHeight="1" s="549">
      <c r="A44" s="681" t="n"/>
      <c r="B44" s="681" t="inlineStr">
        <is>
          <t>Factura</t>
        </is>
      </c>
      <c r="C44" s="783" t="inlineStr">
        <is>
          <t>6.4</t>
        </is>
      </c>
      <c r="D44" s="784" t="inlineStr">
        <is>
          <t>Vehiculo Transporte (Maxus Deliver 9)</t>
        </is>
      </c>
      <c r="E44" s="785" t="n">
        <v>1600000</v>
      </c>
      <c r="F44" s="785">
        <f>+E43*19%</f>
        <v/>
      </c>
      <c r="G44" s="785">
        <f>+E43+F43</f>
        <v/>
      </c>
      <c r="H44" s="823" t="n">
        <v>1</v>
      </c>
      <c r="I44" s="785">
        <f>+E43*H43</f>
        <v/>
      </c>
      <c r="J44" s="785">
        <f>+I43*19%</f>
        <v/>
      </c>
      <c r="K44" s="785">
        <f>+SUM(I43:J43)</f>
        <v/>
      </c>
      <c r="L44" s="730" t="inlineStr">
        <is>
          <t>25.1</t>
        </is>
      </c>
      <c r="M44" s="730" t="inlineStr">
        <is>
          <t>b.3 Alquileres</t>
        </is>
      </c>
      <c r="N44" s="681" t="n"/>
      <c r="O44" s="681" t="n"/>
      <c r="P44" s="681" t="n"/>
      <c r="Q44" s="681" t="n"/>
      <c r="R44" s="681" t="n"/>
      <c r="S44" s="681" t="n"/>
    </row>
    <row r="45" ht="14" customHeight="1" s="549">
      <c r="A45" s="686" t="n"/>
      <c r="B45" s="686" t="n"/>
      <c r="C45" s="771" t="inlineStr">
        <is>
          <t>7.</t>
        </is>
      </c>
      <c r="D45" s="682" t="inlineStr">
        <is>
          <t>Transporte</t>
        </is>
      </c>
      <c r="E45" s="780">
        <f>+SUM(E45:E51)</f>
        <v/>
      </c>
      <c r="F45" s="780">
        <f>+SUM(F45:F51)</f>
        <v/>
      </c>
      <c r="G45" s="780">
        <f>+SUM(G45:G51)</f>
        <v/>
      </c>
      <c r="H45" s="780" t="n"/>
      <c r="I45" s="780">
        <f>+SUM(I45:I51)</f>
        <v/>
      </c>
      <c r="J45" s="780">
        <f>+SUM(J45:J51)</f>
        <v/>
      </c>
      <c r="K45" s="780">
        <f>+SUM(K45:K51)</f>
        <v/>
      </c>
      <c r="L45" s="757" t="inlineStr">
        <is>
          <t>25.7</t>
        </is>
      </c>
      <c r="M45" s="757" t="inlineStr">
        <is>
          <t>b.7 Transporte</t>
        </is>
      </c>
      <c r="N45" s="686" t="n"/>
      <c r="O45" s="686" t="n"/>
      <c r="P45" s="686" t="n"/>
      <c r="Q45" s="686" t="n"/>
      <c r="R45" s="686" t="n"/>
      <c r="S45" s="686" t="n"/>
    </row>
    <row r="46" ht="14" customHeight="1" s="549">
      <c r="A46" s="681" t="n"/>
      <c r="B46" s="681" t="inlineStr">
        <is>
          <t>Factura</t>
        </is>
      </c>
      <c r="C46" s="783" t="inlineStr">
        <is>
          <t>7.1</t>
        </is>
      </c>
      <c r="D46" s="784" t="inlineStr">
        <is>
          <t>Transporte ZIMPERTEC</t>
        </is>
      </c>
      <c r="E46" s="785" t="n">
        <v>5016000</v>
      </c>
      <c r="F46" s="785">
        <f>+E45*19%</f>
        <v/>
      </c>
      <c r="G46" s="785">
        <f>+E45+F45</f>
        <v/>
      </c>
      <c r="H46" s="823" t="n">
        <v>0</v>
      </c>
      <c r="I46" s="785">
        <f>+E45*H45</f>
        <v/>
      </c>
      <c r="J46" s="785">
        <f>+I45*19%</f>
        <v/>
      </c>
      <c r="K46" s="785">
        <f>+SUM(I45:J45)</f>
        <v/>
      </c>
      <c r="L46" s="730" t="inlineStr">
        <is>
          <t>25.7</t>
        </is>
      </c>
      <c r="M46" s="730" t="inlineStr">
        <is>
          <t>b.7 Transporte</t>
        </is>
      </c>
      <c r="N46" s="681" t="n"/>
      <c r="O46" s="681" t="n"/>
      <c r="P46" s="681" t="n"/>
      <c r="Q46" s="681" t="n"/>
      <c r="R46" s="681" t="n"/>
      <c r="S46" s="681" t="n"/>
    </row>
    <row r="47" ht="12" customHeight="1" s="549"/>
    <row r="48" ht="14" customHeight="1" s="549">
      <c r="A48" s="686" t="n"/>
      <c r="B48" s="686" t="inlineStr">
        <is>
          <t>Factura</t>
        </is>
      </c>
      <c r="C48" s="788" t="inlineStr">
        <is>
          <t>7.3</t>
        </is>
      </c>
      <c r="D48" s="789" t="inlineStr">
        <is>
          <t>Traslado Contenedor (ida y vuelta)</t>
        </is>
      </c>
      <c r="E48" s="790" t="n">
        <v>920000</v>
      </c>
      <c r="F48" s="790">
        <f>+E47*19%</f>
        <v/>
      </c>
      <c r="G48" s="790">
        <f>+E47+F47</f>
        <v/>
      </c>
      <c r="H48" s="820" t="n">
        <v>1</v>
      </c>
      <c r="I48" s="790">
        <f>+E47*H47</f>
        <v/>
      </c>
      <c r="J48" s="790">
        <f>+I47*19%</f>
        <v/>
      </c>
      <c r="K48" s="790">
        <f>+SUM(I47:J47)</f>
        <v/>
      </c>
      <c r="L48" s="757" t="inlineStr">
        <is>
          <t>25.7</t>
        </is>
      </c>
      <c r="M48" s="757" t="inlineStr">
        <is>
          <t>b.7 Transporte</t>
        </is>
      </c>
      <c r="N48" s="686" t="n"/>
      <c r="O48" s="686" t="n"/>
      <c r="P48" s="686" t="n"/>
      <c r="Q48" s="686" t="n"/>
      <c r="R48" s="686" t="n"/>
      <c r="S48" s="686" t="n"/>
    </row>
    <row r="49" ht="14" customHeight="1" s="549">
      <c r="A49" s="681" t="n"/>
      <c r="B49" s="681" t="inlineStr">
        <is>
          <t>Factura</t>
        </is>
      </c>
      <c r="C49" s="783" t="inlineStr">
        <is>
          <t>7.4</t>
        </is>
      </c>
      <c r="D49" s="784" t="inlineStr">
        <is>
          <t>Camión Transporte Origen - Punto Destino (RAMPLA ABIERTA)</t>
        </is>
      </c>
      <c r="E49" s="785" t="n">
        <v>1725000</v>
      </c>
      <c r="F49" s="785">
        <f>+E48*19%</f>
        <v/>
      </c>
      <c r="G49" s="785">
        <f>+E48+F48</f>
        <v/>
      </c>
      <c r="H49" s="823" t="n">
        <v>1</v>
      </c>
      <c r="I49" s="785">
        <f>+E48*H48</f>
        <v/>
      </c>
      <c r="J49" s="785">
        <f>+I48*19%</f>
        <v/>
      </c>
      <c r="K49" s="785">
        <f>+SUM(I48:J48)</f>
        <v/>
      </c>
      <c r="L49" s="730" t="inlineStr">
        <is>
          <t>25.7</t>
        </is>
      </c>
      <c r="M49" s="730" t="inlineStr">
        <is>
          <t>b.7 Transporte</t>
        </is>
      </c>
      <c r="N49" s="681" t="n"/>
      <c r="O49" s="681" t="n"/>
      <c r="P49" s="681" t="n"/>
      <c r="Q49" s="681" t="n"/>
      <c r="R49" s="681" t="n"/>
      <c r="S49" s="681" t="n"/>
    </row>
    <row r="50"/>
    <row r="51" ht="12" customHeight="1" s="549"/>
    <row r="52" ht="14" customHeight="1" s="549">
      <c r="A52" s="686" t="n"/>
      <c r="B52" s="686" t="inlineStr">
        <is>
          <t>Factura</t>
        </is>
      </c>
      <c r="C52" s="788" t="inlineStr">
        <is>
          <t>7.7</t>
        </is>
      </c>
      <c r="D52" s="789" t="inlineStr">
        <is>
          <t>Camión Transporte Origen - Punto Destino (Camión cerrado)</t>
        </is>
      </c>
      <c r="E52" s="790" t="n">
        <v>1725000</v>
      </c>
      <c r="F52" s="790">
        <f>+E51*19%</f>
        <v/>
      </c>
      <c r="G52" s="790">
        <f>+E51+F51</f>
        <v/>
      </c>
      <c r="H52" s="820" t="n">
        <v>1</v>
      </c>
      <c r="I52" s="790">
        <f>+E51*H51</f>
        <v/>
      </c>
      <c r="J52" s="790">
        <f>+I51*19%</f>
        <v/>
      </c>
      <c r="K52" s="790">
        <f>+SUM(I51:J51)</f>
        <v/>
      </c>
      <c r="L52" s="757" t="inlineStr">
        <is>
          <t>25.7</t>
        </is>
      </c>
      <c r="M52" s="757" t="inlineStr">
        <is>
          <t>b.7 Transporte</t>
        </is>
      </c>
      <c r="N52" s="686" t="n"/>
      <c r="O52" s="686" t="n"/>
      <c r="P52" s="686" t="n"/>
      <c r="Q52" s="686" t="n"/>
      <c r="R52" s="686" t="n"/>
      <c r="S52" s="686" t="n"/>
    </row>
    <row r="53" ht="14" customHeight="1" s="549">
      <c r="A53" s="681" t="n"/>
      <c r="B53" s="681" t="n"/>
      <c r="C53" s="712" t="inlineStr">
        <is>
          <t>8.</t>
        </is>
      </c>
      <c r="D53" s="688" t="inlineStr">
        <is>
          <t>Viajes RRCC</t>
        </is>
      </c>
      <c r="E53" s="792">
        <f>+SUM(E53:E58)</f>
        <v/>
      </c>
      <c r="F53" s="792">
        <f>+SUM(F53:F58)</f>
        <v/>
      </c>
      <c r="G53" s="792">
        <f>+SUM(G53:G58)</f>
        <v/>
      </c>
      <c r="H53" s="792" t="n"/>
      <c r="I53" s="792">
        <f>+SUM(I53:I58)</f>
        <v/>
      </c>
      <c r="J53" s="792">
        <f>+SUM(J53:J58)</f>
        <v/>
      </c>
      <c r="K53" s="792">
        <f>+SUM(K53:K58)</f>
        <v/>
      </c>
      <c r="L53" s="730" t="inlineStr">
        <is>
          <t>25.11/25.13</t>
        </is>
      </c>
      <c r="M53" s="730" t="inlineStr">
        <is>
          <t>b.5 Viajes</t>
        </is>
      </c>
      <c r="N53" s="681" t="n"/>
      <c r="O53" s="681" t="n"/>
      <c r="P53" s="681" t="n"/>
      <c r="Q53" s="681" t="n"/>
      <c r="R53" s="681" t="n"/>
      <c r="S53" s="681" t="n"/>
    </row>
    <row r="54" ht="14" customHeight="1" s="549">
      <c r="A54" s="686" t="n"/>
      <c r="B54" s="686" t="inlineStr">
        <is>
          <t>Factura</t>
        </is>
      </c>
      <c r="C54" s="788" t="inlineStr">
        <is>
          <t>8.1</t>
        </is>
      </c>
      <c r="D54" s="789" t="inlineStr">
        <is>
          <t>Traslados de personal</t>
        </is>
      </c>
      <c r="E54" s="790" t="n">
        <v>180000</v>
      </c>
      <c r="F54" s="790">
        <f>+E53*19%</f>
        <v/>
      </c>
      <c r="G54" s="790">
        <f>+E53+F53</f>
        <v/>
      </c>
      <c r="H54" s="820" t="n">
        <v>1</v>
      </c>
      <c r="I54" s="790">
        <f>+E53*H53</f>
        <v/>
      </c>
      <c r="J54" s="790">
        <f>+I53*19%</f>
        <v/>
      </c>
      <c r="K54" s="790">
        <f>+SUM(I53:J53)</f>
        <v/>
      </c>
      <c r="L54" s="757" t="inlineStr">
        <is>
          <t>25.13</t>
        </is>
      </c>
      <c r="M54" s="757" t="inlineStr">
        <is>
          <t>b.5 Viajes</t>
        </is>
      </c>
      <c r="N54" s="686" t="n"/>
      <c r="O54" s="686" t="n"/>
      <c r="P54" s="686" t="n"/>
      <c r="Q54" s="686" t="n"/>
      <c r="R54" s="686" t="n"/>
      <c r="S54" s="686" t="n"/>
    </row>
    <row r="55" ht="14" customHeight="1" s="549">
      <c r="A55" s="681" t="n"/>
      <c r="B55" s="681" t="inlineStr">
        <is>
          <t xml:space="preserve">Factura o Boleta </t>
        </is>
      </c>
      <c r="C55" s="783" t="inlineStr">
        <is>
          <t>8.2</t>
        </is>
      </c>
      <c r="D55" s="784" t="inlineStr">
        <is>
          <t>Alojamiento</t>
        </is>
      </c>
      <c r="E55" s="785" t="n">
        <v>60000</v>
      </c>
      <c r="F55" s="785">
        <f>+E54*19%</f>
        <v/>
      </c>
      <c r="G55" s="785">
        <f>+E54+F54</f>
        <v/>
      </c>
      <c r="H55" s="823" t="n">
        <v>1</v>
      </c>
      <c r="I55" s="785">
        <f>+E54*H54</f>
        <v/>
      </c>
      <c r="J55" s="785">
        <f>+I54*19%</f>
        <v/>
      </c>
      <c r="K55" s="785">
        <f>+SUM(I54:J54)</f>
        <v/>
      </c>
      <c r="L55" s="730" t="inlineStr">
        <is>
          <t>25.13</t>
        </is>
      </c>
      <c r="M55" s="730" t="inlineStr">
        <is>
          <t>b.5 Viajes</t>
        </is>
      </c>
      <c r="N55" s="681" t="n"/>
      <c r="O55" s="681" t="n"/>
      <c r="P55" s="681" t="n"/>
      <c r="Q55" s="681" t="n"/>
      <c r="R55" s="681" t="n"/>
      <c r="S55" s="681" t="n"/>
    </row>
    <row r="56" ht="14" customHeight="1" s="549">
      <c r="A56" s="686" t="n"/>
      <c r="B56" s="686" t="inlineStr">
        <is>
          <t xml:space="preserve">Boleta </t>
        </is>
      </c>
      <c r="C56" s="788" t="inlineStr">
        <is>
          <t>8.3</t>
        </is>
      </c>
      <c r="D56" s="789" t="inlineStr">
        <is>
          <t>Alimentación</t>
        </is>
      </c>
      <c r="E56" s="790" t="n">
        <v>15000</v>
      </c>
      <c r="F56" s="790">
        <f>+E55*19%</f>
        <v/>
      </c>
      <c r="G56" s="790">
        <f>+E55+F55</f>
        <v/>
      </c>
      <c r="H56" s="820" t="n">
        <v>1</v>
      </c>
      <c r="I56" s="790">
        <f>+E55*H55</f>
        <v/>
      </c>
      <c r="J56" s="790">
        <f>+I55*19%</f>
        <v/>
      </c>
      <c r="K56" s="790">
        <f>+SUM(I55:J55)</f>
        <v/>
      </c>
      <c r="L56" s="757" t="inlineStr">
        <is>
          <t>25.13</t>
        </is>
      </c>
      <c r="M56" s="757" t="inlineStr">
        <is>
          <t>b.5 Viajes</t>
        </is>
      </c>
      <c r="N56" s="686" t="n"/>
      <c r="O56" s="686" t="n"/>
      <c r="P56" s="686" t="n"/>
      <c r="Q56" s="686" t="n"/>
      <c r="R56" s="686" t="n"/>
      <c r="S56" s="686" t="n"/>
    </row>
    <row r="57" ht="14" customHeight="1" s="549">
      <c r="A57" s="681" t="n"/>
      <c r="B57" s="681" t="inlineStr">
        <is>
          <t xml:space="preserve">Factura o Boleta </t>
        </is>
      </c>
      <c r="C57" s="783" t="inlineStr">
        <is>
          <t>8.4</t>
        </is>
      </c>
      <c r="D57" s="784" t="inlineStr">
        <is>
          <t>Combustible arriendo diario</t>
        </is>
      </c>
      <c r="E57" s="785" t="n">
        <v>70000</v>
      </c>
      <c r="F57" s="785">
        <f>+E56*19%</f>
        <v/>
      </c>
      <c r="G57" s="785">
        <f>+E56+F56</f>
        <v/>
      </c>
      <c r="H57" s="823" t="n">
        <v>1</v>
      </c>
      <c r="I57" s="785">
        <f>+E56*H56</f>
        <v/>
      </c>
      <c r="J57" s="785">
        <f>+I56*19%</f>
        <v/>
      </c>
      <c r="K57" s="785">
        <f>+SUM(I56:J56)</f>
        <v/>
      </c>
      <c r="L57" s="730" t="inlineStr">
        <is>
          <t>25.11</t>
        </is>
      </c>
      <c r="M57" s="730" t="inlineStr">
        <is>
          <t>b.5 Viajes</t>
        </is>
      </c>
      <c r="N57" s="681" t="n"/>
      <c r="O57" s="681" t="n"/>
      <c r="P57" s="681" t="n"/>
      <c r="Q57" s="681" t="n"/>
      <c r="R57" s="681" t="n"/>
      <c r="S57" s="681" t="n"/>
    </row>
    <row r="58" ht="14" customHeight="1" s="549">
      <c r="A58" s="686" t="n"/>
      <c r="B58" s="686" t="inlineStr">
        <is>
          <t xml:space="preserve">Factura o Boleta </t>
        </is>
      </c>
      <c r="C58" s="788" t="inlineStr">
        <is>
          <t>8.5</t>
        </is>
      </c>
      <c r="D58" s="789" t="inlineStr">
        <is>
          <t>Combustible arriendo mensual</t>
        </is>
      </c>
      <c r="E58" s="790" t="n">
        <v>700000</v>
      </c>
      <c r="F58" s="790">
        <f>+E57*19%</f>
        <v/>
      </c>
      <c r="G58" s="790">
        <f>+E57+F57</f>
        <v/>
      </c>
      <c r="H58" s="820" t="n">
        <v>1</v>
      </c>
      <c r="I58" s="790">
        <f>+E57*H57</f>
        <v/>
      </c>
      <c r="J58" s="790">
        <f>+I57*19%</f>
        <v/>
      </c>
      <c r="K58" s="790">
        <f>+SUM(I57:J57)</f>
        <v/>
      </c>
      <c r="L58" s="757" t="inlineStr">
        <is>
          <t>25.11</t>
        </is>
      </c>
      <c r="M58" s="757" t="inlineStr">
        <is>
          <t>b.5 Viajes</t>
        </is>
      </c>
      <c r="N58" s="686" t="n"/>
      <c r="O58" s="686" t="n"/>
      <c r="P58" s="686" t="n"/>
      <c r="Q58" s="686" t="n"/>
      <c r="R58" s="686" t="n"/>
      <c r="S58" s="686" t="n"/>
    </row>
    <row r="59" ht="14" customHeight="1" s="549">
      <c r="A59" s="681" t="n"/>
      <c r="B59" s="681" t="inlineStr">
        <is>
          <t xml:space="preserve">Boleta </t>
        </is>
      </c>
      <c r="C59" s="783" t="inlineStr">
        <is>
          <t>8.6</t>
        </is>
      </c>
      <c r="D59" s="784" t="inlineStr">
        <is>
          <t>Peajes</t>
        </is>
      </c>
      <c r="E59" s="785" t="n">
        <v>20000</v>
      </c>
      <c r="F59" s="785">
        <f>+E58*19%</f>
        <v/>
      </c>
      <c r="G59" s="785">
        <f>+E58+F58</f>
        <v/>
      </c>
      <c r="H59" s="823" t="n">
        <v>1</v>
      </c>
      <c r="I59" s="785">
        <f>+E58*H58</f>
        <v/>
      </c>
      <c r="J59" s="785">
        <f>+I58*19%</f>
        <v/>
      </c>
      <c r="K59" s="785">
        <f>+SUM(I58:J58)</f>
        <v/>
      </c>
      <c r="L59" s="730" t="inlineStr">
        <is>
          <t>25.13</t>
        </is>
      </c>
      <c r="M59" s="730" t="inlineStr">
        <is>
          <t>b.5 Viajes</t>
        </is>
      </c>
      <c r="N59" s="681" t="n"/>
      <c r="O59" s="681" t="n"/>
      <c r="P59" s="681" t="n"/>
      <c r="Q59" s="681" t="n"/>
      <c r="R59" s="681" t="n"/>
      <c r="S59" s="681" t="n"/>
    </row>
    <row r="60" ht="14" customHeight="1" s="549">
      <c r="A60" s="686" t="n"/>
      <c r="B60" s="686" t="n"/>
      <c r="C60" s="771" t="inlineStr">
        <is>
          <t>9.</t>
        </is>
      </c>
      <c r="D60" s="682" t="inlineStr">
        <is>
          <t>Viajes Gestión Técnica</t>
        </is>
      </c>
      <c r="E60" s="780">
        <f>+SUM(E60:E65)</f>
        <v/>
      </c>
      <c r="F60" s="780">
        <f>+SUM(F60:F65)</f>
        <v/>
      </c>
      <c r="G60" s="780">
        <f>+SUM(G60:G65)</f>
        <v/>
      </c>
      <c r="H60" s="780" t="n"/>
      <c r="I60" s="780">
        <f>+SUM(I60:I65)</f>
        <v/>
      </c>
      <c r="J60" s="780">
        <f>+SUM(J60:J65)</f>
        <v/>
      </c>
      <c r="K60" s="780">
        <f>+SUM(K60:K65)</f>
        <v/>
      </c>
      <c r="L60" s="757" t="inlineStr">
        <is>
          <t>25.11/25.13</t>
        </is>
      </c>
      <c r="M60" s="757" t="inlineStr">
        <is>
          <t>b.5 Viajes</t>
        </is>
      </c>
      <c r="N60" s="686" t="n"/>
      <c r="O60" s="686" t="n"/>
      <c r="P60" s="686" t="n"/>
      <c r="Q60" s="686" t="n"/>
      <c r="R60" s="686" t="n"/>
      <c r="S60" s="686" t="n"/>
    </row>
    <row r="61" ht="14" customHeight="1" s="549">
      <c r="A61" s="681" t="n"/>
      <c r="B61" s="681" t="inlineStr">
        <is>
          <t>Factura</t>
        </is>
      </c>
      <c r="C61" s="783" t="inlineStr">
        <is>
          <t>9.1</t>
        </is>
      </c>
      <c r="D61" s="784" t="inlineStr">
        <is>
          <t>Traslados de personal</t>
        </is>
      </c>
      <c r="E61" s="785" t="n">
        <v>180000</v>
      </c>
      <c r="F61" s="785">
        <f>+E60*19%</f>
        <v/>
      </c>
      <c r="G61" s="785">
        <f>+E60+F60</f>
        <v/>
      </c>
      <c r="H61" s="823" t="n">
        <v>1</v>
      </c>
      <c r="I61" s="785">
        <f>+E60*H60</f>
        <v/>
      </c>
      <c r="J61" s="785">
        <f>+I60*19%</f>
        <v/>
      </c>
      <c r="K61" s="785">
        <f>+SUM(I60:J60)</f>
        <v/>
      </c>
      <c r="L61" s="730" t="inlineStr">
        <is>
          <t>25.13</t>
        </is>
      </c>
      <c r="M61" s="730" t="inlineStr">
        <is>
          <t>b.5 Viajes</t>
        </is>
      </c>
      <c r="N61" s="681" t="n"/>
      <c r="O61" s="681" t="n"/>
      <c r="P61" s="681" t="n"/>
      <c r="Q61" s="681" t="n"/>
      <c r="R61" s="681" t="n"/>
      <c r="S61" s="681" t="n"/>
    </row>
    <row r="62" ht="14" customHeight="1" s="549">
      <c r="A62" s="686" t="n"/>
      <c r="B62" s="686" t="inlineStr">
        <is>
          <t xml:space="preserve">Factura o Boleta </t>
        </is>
      </c>
      <c r="C62" s="788" t="inlineStr">
        <is>
          <t>9.2</t>
        </is>
      </c>
      <c r="D62" s="789" t="inlineStr">
        <is>
          <t>Alojamiento</t>
        </is>
      </c>
      <c r="E62" s="790" t="n">
        <v>60000</v>
      </c>
      <c r="F62" s="790">
        <f>+E61*19%</f>
        <v/>
      </c>
      <c r="G62" s="790">
        <f>+E61+F61</f>
        <v/>
      </c>
      <c r="H62" s="820" t="n">
        <v>1</v>
      </c>
      <c r="I62" s="790">
        <f>+E61*H61</f>
        <v/>
      </c>
      <c r="J62" s="790">
        <f>+I61*19%</f>
        <v/>
      </c>
      <c r="K62" s="790">
        <f>+SUM(I61:J61)</f>
        <v/>
      </c>
      <c r="L62" s="757" t="inlineStr">
        <is>
          <t>25.13</t>
        </is>
      </c>
      <c r="M62" s="757" t="inlineStr">
        <is>
          <t>b.5 Viajes</t>
        </is>
      </c>
      <c r="N62" s="686" t="n"/>
      <c r="O62" s="686" t="n"/>
      <c r="P62" s="686" t="n"/>
      <c r="Q62" s="686" t="n"/>
      <c r="R62" s="686" t="n"/>
      <c r="S62" s="686" t="n"/>
    </row>
    <row r="63" ht="14" customHeight="1" s="549">
      <c r="A63" s="681" t="n"/>
      <c r="B63" s="681" t="inlineStr">
        <is>
          <t xml:space="preserve">Boleta </t>
        </is>
      </c>
      <c r="C63" s="783" t="inlineStr">
        <is>
          <t>9.3</t>
        </is>
      </c>
      <c r="D63" s="784" t="inlineStr">
        <is>
          <t>Alimentación</t>
        </is>
      </c>
      <c r="E63" s="785" t="n">
        <v>15000</v>
      </c>
      <c r="F63" s="785">
        <f>+E62*19%</f>
        <v/>
      </c>
      <c r="G63" s="785">
        <f>+E62+F62</f>
        <v/>
      </c>
      <c r="H63" s="823" t="n">
        <v>1</v>
      </c>
      <c r="I63" s="785">
        <f>+E62*H62</f>
        <v/>
      </c>
      <c r="J63" s="785">
        <f>+I62*19%</f>
        <v/>
      </c>
      <c r="K63" s="785">
        <f>+SUM(I62:J62)</f>
        <v/>
      </c>
      <c r="L63" s="730" t="inlineStr">
        <is>
          <t>25.13</t>
        </is>
      </c>
      <c r="M63" s="730" t="inlineStr">
        <is>
          <t>b.5 Viajes</t>
        </is>
      </c>
      <c r="N63" s="681" t="n"/>
      <c r="O63" s="681" t="n"/>
      <c r="P63" s="681" t="n"/>
      <c r="Q63" s="681" t="n"/>
      <c r="R63" s="681" t="n"/>
      <c r="S63" s="681" t="n"/>
    </row>
    <row r="64" ht="14" customHeight="1" s="549">
      <c r="A64" s="686" t="n"/>
      <c r="B64" s="686" t="inlineStr">
        <is>
          <t xml:space="preserve">Factura o Boleta </t>
        </is>
      </c>
      <c r="C64" s="788" t="inlineStr">
        <is>
          <t>9.4</t>
        </is>
      </c>
      <c r="D64" s="789" t="inlineStr">
        <is>
          <t>Combustible arriendo diario</t>
        </is>
      </c>
      <c r="E64" s="790" t="n">
        <v>70000</v>
      </c>
      <c r="F64" s="790">
        <f>+E63*19%</f>
        <v/>
      </c>
      <c r="G64" s="790">
        <f>+E63+F63</f>
        <v/>
      </c>
      <c r="H64" s="820" t="n">
        <v>1</v>
      </c>
      <c r="I64" s="790">
        <f>+E63*H63</f>
        <v/>
      </c>
      <c r="J64" s="790">
        <f>+I63*19%</f>
        <v/>
      </c>
      <c r="K64" s="790">
        <f>+SUM(I63:J63)</f>
        <v/>
      </c>
      <c r="L64" s="757" t="inlineStr">
        <is>
          <t>25.11</t>
        </is>
      </c>
      <c r="M64" s="757" t="inlineStr">
        <is>
          <t>b.5 Viajes</t>
        </is>
      </c>
      <c r="N64" s="686" t="n"/>
      <c r="O64" s="686" t="n"/>
      <c r="P64" s="686" t="n"/>
      <c r="Q64" s="686" t="n"/>
      <c r="R64" s="686" t="n"/>
      <c r="S64" s="686" t="n"/>
    </row>
    <row r="65" ht="14" customHeight="1" s="549">
      <c r="A65" s="681" t="n"/>
      <c r="B65" s="681" t="inlineStr">
        <is>
          <t xml:space="preserve">Factura o Boleta </t>
        </is>
      </c>
      <c r="C65" s="783" t="inlineStr">
        <is>
          <t>9.5</t>
        </is>
      </c>
      <c r="D65" s="784" t="inlineStr">
        <is>
          <t>Combustible arriendo mensual</t>
        </is>
      </c>
      <c r="E65" s="785" t="n">
        <v>600000</v>
      </c>
      <c r="F65" s="785">
        <f>+E64*19%</f>
        <v/>
      </c>
      <c r="G65" s="785">
        <f>+E64+F64</f>
        <v/>
      </c>
      <c r="H65" s="823" t="n">
        <v>1</v>
      </c>
      <c r="I65" s="785">
        <f>+E64*H64</f>
        <v/>
      </c>
      <c r="J65" s="785">
        <f>+I64*19%</f>
        <v/>
      </c>
      <c r="K65" s="785">
        <f>+SUM(I64:J64)</f>
        <v/>
      </c>
      <c r="L65" s="730" t="inlineStr">
        <is>
          <t>25.11</t>
        </is>
      </c>
      <c r="M65" s="730" t="inlineStr">
        <is>
          <t>b.5 Viajes</t>
        </is>
      </c>
      <c r="N65" s="681" t="n"/>
      <c r="O65" s="681" t="n"/>
      <c r="P65" s="681" t="n"/>
      <c r="Q65" s="681" t="n"/>
      <c r="R65" s="681" t="n"/>
      <c r="S65" s="681" t="n"/>
    </row>
    <row r="66" ht="14" customHeight="1" s="549">
      <c r="A66" s="686" t="n"/>
      <c r="B66" s="686" t="inlineStr">
        <is>
          <t xml:space="preserve">Boleta </t>
        </is>
      </c>
      <c r="C66" s="788" t="inlineStr">
        <is>
          <t>9.6</t>
        </is>
      </c>
      <c r="D66" s="789" t="inlineStr">
        <is>
          <t>Peajes</t>
        </is>
      </c>
      <c r="E66" s="790" t="n">
        <v>20000</v>
      </c>
      <c r="F66" s="790">
        <f>+E65*19%</f>
        <v/>
      </c>
      <c r="G66" s="790">
        <f>+E65+F65</f>
        <v/>
      </c>
      <c r="H66" s="820" t="n">
        <v>1</v>
      </c>
      <c r="I66" s="790">
        <f>+E65*H65</f>
        <v/>
      </c>
      <c r="J66" s="790">
        <f>+I65*19%</f>
        <v/>
      </c>
      <c r="K66" s="790">
        <f>+SUM(I65:J65)</f>
        <v/>
      </c>
      <c r="L66" s="757" t="inlineStr">
        <is>
          <t>25.13</t>
        </is>
      </c>
      <c r="M66" s="757" t="inlineStr">
        <is>
          <t>b.5 Viajes</t>
        </is>
      </c>
      <c r="N66" s="686" t="n"/>
      <c r="O66" s="686" t="n"/>
      <c r="P66" s="686" t="n"/>
      <c r="Q66" s="686" t="n"/>
      <c r="R66" s="686" t="n"/>
      <c r="S66" s="686" t="n"/>
    </row>
    <row r="67" ht="14" customHeight="1" s="549">
      <c r="A67" s="681" t="n"/>
      <c r="B67" s="681" t="n"/>
      <c r="C67" s="712" t="inlineStr">
        <is>
          <t>10.</t>
        </is>
      </c>
      <c r="D67" s="688" t="inlineStr">
        <is>
          <t xml:space="preserve">Gastos Varios </t>
        </is>
      </c>
      <c r="E67" s="792">
        <f>+SUM(E67:E71)</f>
        <v/>
      </c>
      <c r="F67" s="792">
        <f>+SUM(F67:F71)</f>
        <v/>
      </c>
      <c r="G67" s="792">
        <f>+SUM(G67:G71)</f>
        <v/>
      </c>
      <c r="H67" s="792" t="n"/>
      <c r="I67" s="792">
        <f>+SUM(I67:I71)</f>
        <v/>
      </c>
      <c r="J67" s="792">
        <f>+SUM(J67:J71)</f>
        <v/>
      </c>
      <c r="K67" s="792">
        <f>+SUM(K67:K71)</f>
        <v/>
      </c>
      <c r="L67" s="730" t="inlineStr">
        <is>
          <t>25.14</t>
        </is>
      </c>
      <c r="M67" s="730" t="inlineStr">
        <is>
          <t>b.6 Otros gastos</t>
        </is>
      </c>
      <c r="N67" s="681" t="n"/>
      <c r="O67" s="681" t="n"/>
      <c r="P67" s="681" t="n"/>
      <c r="Q67" s="681" t="n"/>
      <c r="R67" s="681" t="n"/>
      <c r="S67" s="681" t="n"/>
    </row>
    <row r="68" ht="14" customHeight="1" s="549">
      <c r="A68" s="686" t="n"/>
      <c r="B68" s="686" t="inlineStr">
        <is>
          <t xml:space="preserve">Boleta </t>
        </is>
      </c>
      <c r="C68" s="788" t="inlineStr">
        <is>
          <t>10.1</t>
        </is>
      </c>
      <c r="D68" s="789" t="inlineStr">
        <is>
          <t xml:space="preserve">Compras de Equipos, EEPP, Otros </t>
        </is>
      </c>
      <c r="E68" s="790" t="n">
        <v>1800000</v>
      </c>
      <c r="F68" s="790">
        <f>+E67*19%</f>
        <v/>
      </c>
      <c r="G68" s="790">
        <f>+E67+F67</f>
        <v/>
      </c>
      <c r="H68" s="820" t="n">
        <v>1</v>
      </c>
      <c r="I68" s="790">
        <f>+E67*H67</f>
        <v/>
      </c>
      <c r="J68" s="790">
        <f>+I67*19%</f>
        <v/>
      </c>
      <c r="K68" s="790">
        <f>+SUM(I67:J67)</f>
        <v/>
      </c>
      <c r="L68" s="757" t="inlineStr">
        <is>
          <t>25.9</t>
        </is>
      </c>
      <c r="M68" s="757" t="inlineStr">
        <is>
          <t>b.6 Otros gastos</t>
        </is>
      </c>
      <c r="N68" s="686" t="n"/>
      <c r="O68" s="686" t="n"/>
      <c r="P68" s="686" t="n"/>
      <c r="Q68" s="686" t="n"/>
      <c r="R68" s="686" t="n"/>
      <c r="S68" s="686" t="n"/>
    </row>
    <row r="69" ht="14" customHeight="1" s="549">
      <c r="A69" s="681" t="n"/>
      <c r="B69" s="681" t="inlineStr">
        <is>
          <t xml:space="preserve">Boleta </t>
        </is>
      </c>
      <c r="C69" s="783" t="inlineStr">
        <is>
          <t>10.2</t>
        </is>
      </c>
      <c r="D69" s="784" t="inlineStr">
        <is>
          <t>Mensajerias (Correo de Chile)</t>
        </is>
      </c>
      <c r="E69" s="785" t="n">
        <v>10500</v>
      </c>
      <c r="F69" s="785">
        <f>+E68*19%</f>
        <v/>
      </c>
      <c r="G69" s="785">
        <f>+E68+F68</f>
        <v/>
      </c>
      <c r="H69" s="823" t="n">
        <v>1</v>
      </c>
      <c r="I69" s="785">
        <f>+E68*H68</f>
        <v/>
      </c>
      <c r="J69" s="785">
        <f>+I68*19%</f>
        <v/>
      </c>
      <c r="K69" s="785">
        <f>+SUM(I68:J68)</f>
        <v/>
      </c>
      <c r="L69" s="730" t="inlineStr">
        <is>
          <t>25.7</t>
        </is>
      </c>
      <c r="M69" s="730" t="inlineStr">
        <is>
          <t>b.6 Otros gastos</t>
        </is>
      </c>
      <c r="N69" s="681" t="n"/>
      <c r="O69" s="681" t="n"/>
      <c r="P69" s="681" t="n"/>
      <c r="Q69" s="681" t="n"/>
      <c r="R69" s="681" t="n"/>
      <c r="S69" s="681" t="n"/>
    </row>
    <row r="70" ht="14" customHeight="1" s="549">
      <c r="A70" s="686" t="n"/>
      <c r="B70" s="686" t="inlineStr">
        <is>
          <t xml:space="preserve">Factura o Boleta </t>
        </is>
      </c>
      <c r="C70" s="788" t="inlineStr">
        <is>
          <t>10.3</t>
        </is>
      </c>
      <c r="D70" s="789" t="inlineStr">
        <is>
          <t>Impresión de manuales</t>
        </is>
      </c>
      <c r="E70" s="790" t="n">
        <v>15750</v>
      </c>
      <c r="F70" s="790">
        <f>+E69*19%</f>
        <v/>
      </c>
      <c r="G70" s="790">
        <f>+E69+F69</f>
        <v/>
      </c>
      <c r="H70" s="820" t="n">
        <v>1</v>
      </c>
      <c r="I70" s="790">
        <f>+E69*H69</f>
        <v/>
      </c>
      <c r="J70" s="790">
        <f>+I69*19%</f>
        <v/>
      </c>
      <c r="K70" s="790">
        <f>+SUM(I69:J69)</f>
        <v/>
      </c>
      <c r="L70" s="757" t="inlineStr">
        <is>
          <t>25.14</t>
        </is>
      </c>
      <c r="M70" s="757" t="inlineStr">
        <is>
          <t>b.6 Otros gastos</t>
        </is>
      </c>
      <c r="N70" s="686" t="n"/>
      <c r="O70" s="686" t="n"/>
      <c r="P70" s="686" t="n"/>
      <c r="Q70" s="686" t="n"/>
      <c r="R70" s="686" t="n"/>
      <c r="S70" s="686" t="n"/>
    </row>
    <row r="71" ht="14" customHeight="1" s="549">
      <c r="A71" s="681" t="n"/>
      <c r="B71" s="681" t="inlineStr">
        <is>
          <t xml:space="preserve">Factura o Boleta </t>
        </is>
      </c>
      <c r="C71" s="783" t="inlineStr">
        <is>
          <t>10.4</t>
        </is>
      </c>
      <c r="D71" s="784" t="inlineStr">
        <is>
          <t>Mantención y reparación de Vehículos</t>
        </is>
      </c>
      <c r="E71" s="785" t="n">
        <v>0</v>
      </c>
      <c r="F71" s="785">
        <f>+E70*19%</f>
        <v/>
      </c>
      <c r="G71" s="785">
        <f>+E70+F70</f>
        <v/>
      </c>
      <c r="H71" s="823" t="n">
        <v>1</v>
      </c>
      <c r="I71" s="785">
        <f>+E70*H70</f>
        <v/>
      </c>
      <c r="J71" s="785">
        <f>+I70*19%</f>
        <v/>
      </c>
      <c r="K71" s="785">
        <f>+SUM(I70:J70)</f>
        <v/>
      </c>
      <c r="L71" s="730" t="inlineStr">
        <is>
          <t>25.14</t>
        </is>
      </c>
      <c r="M71" s="730" t="inlineStr">
        <is>
          <t>b.6 Otros gastos</t>
        </is>
      </c>
      <c r="N71" s="681" t="n"/>
      <c r="O71" s="681" t="n"/>
      <c r="P71" s="681" t="n"/>
      <c r="Q71" s="681" t="n"/>
      <c r="R71" s="681" t="n"/>
      <c r="S71" s="681" t="n"/>
    </row>
    <row r="72" ht="14" customHeight="1" s="549">
      <c r="A72" s="686" t="n"/>
      <c r="B72" s="686" t="inlineStr">
        <is>
          <t xml:space="preserve">Factura o Boleta </t>
        </is>
      </c>
      <c r="C72" s="788" t="inlineStr">
        <is>
          <t>10.5</t>
        </is>
      </c>
      <c r="D72" s="789" t="inlineStr">
        <is>
          <t xml:space="preserve">Otros varios </t>
        </is>
      </c>
      <c r="E72" s="790" t="n">
        <v>14250</v>
      </c>
      <c r="F72" s="790" t="n"/>
      <c r="G72" s="790">
        <f>+E71+F71</f>
        <v/>
      </c>
      <c r="H72" s="820" t="n">
        <v>1</v>
      </c>
      <c r="I72" s="790">
        <f>+E71*H71</f>
        <v/>
      </c>
      <c r="J72" s="790">
        <f>+I71*19%</f>
        <v/>
      </c>
      <c r="K72" s="790">
        <f>+SUM(I71:J71)</f>
        <v/>
      </c>
      <c r="L72" s="757" t="inlineStr">
        <is>
          <t>25.14</t>
        </is>
      </c>
      <c r="M72" s="757" t="inlineStr">
        <is>
          <t>b.6 Otros gastos</t>
        </is>
      </c>
      <c r="N72" s="686" t="n"/>
      <c r="O72" s="686" t="n"/>
      <c r="P72" s="686" t="n"/>
      <c r="Q72" s="686" t="n"/>
      <c r="R72" s="686" t="n"/>
      <c r="S72" s="686" t="n"/>
    </row>
    <row r="73"/>
    <row r="74" ht="14" customHeight="1" s="549">
      <c r="A74" s="681" t="n"/>
      <c r="B74" s="681" t="n"/>
      <c r="C74" s="681" t="n"/>
      <c r="D74" s="681" t="n"/>
      <c r="E74" s="681" t="inlineStr">
        <is>
          <t>NETO</t>
        </is>
      </c>
      <c r="F74" s="681" t="inlineStr">
        <is>
          <t>BRUTO</t>
        </is>
      </c>
      <c r="G74" s="681" t="n"/>
      <c r="H74" s="681" t="n"/>
      <c r="I74" s="681" t="n"/>
      <c r="J74" s="681" t="n"/>
      <c r="K74" s="681" t="n"/>
      <c r="L74" s="681" t="n"/>
      <c r="M74" s="681" t="n"/>
      <c r="N74" s="681" t="n"/>
      <c r="O74" s="681" t="n"/>
      <c r="P74" s="681" t="n"/>
      <c r="Q74" s="681" t="n"/>
      <c r="R74" s="681" t="n"/>
      <c r="S74" s="681" t="n"/>
    </row>
    <row r="75" ht="14" customHeight="1" s="549">
      <c r="A75" s="686" t="n"/>
      <c r="B75" s="686" t="n"/>
      <c r="C75" s="686" t="n"/>
      <c r="D75" s="693" t="inlineStr">
        <is>
          <t>Calculo de precio unitario 
Sistemas AC + Paneles + Lámparas + Flete + ( Transp.descons. + Grúas)/N° Equipo a Instalar</t>
        </is>
      </c>
      <c r="E75" s="827">
        <f>+SUM(I9:I16)/E2+(SUM(I16,I17,I18)/E2)</f>
        <v/>
      </c>
      <c r="F75" s="827">
        <f>F75+((K16+K17+K18)/E2)</f>
        <v/>
      </c>
      <c r="G75" s="686" t="n"/>
      <c r="H75" s="686" t="n"/>
      <c r="I75" s="686" t="n"/>
      <c r="J75" s="686" t="n"/>
      <c r="K75" s="686" t="n"/>
      <c r="L75" s="686" t="n"/>
      <c r="M75" s="686" t="n"/>
      <c r="N75" s="686" t="n"/>
      <c r="O75" s="686" t="n"/>
      <c r="P75" s="686" t="n"/>
      <c r="Q75" s="686" t="n"/>
      <c r="R75" s="686" t="n"/>
      <c r="S75" s="686" t="n"/>
    </row>
    <row r="76" ht="14" customHeight="1" s="549">
      <c r="A76" s="681" t="n"/>
      <c r="B76" s="681" t="n"/>
      <c r="C76" s="681" t="n"/>
      <c r="D76" s="694" t="inlineStr">
        <is>
          <t>Calculo de precio unitario 
Sistemas AC + Paneles + Lámparas + Flete</t>
        </is>
      </c>
      <c r="E76" s="828">
        <f>+I8/E2</f>
        <v/>
      </c>
      <c r="F76" s="828">
        <f>+K8/E2</f>
        <v/>
      </c>
      <c r="G76" s="681" t="n"/>
      <c r="H76" s="681" t="n"/>
      <c r="I76" s="681" t="n"/>
      <c r="J76" s="681" t="n"/>
      <c r="K76" s="681" t="n"/>
      <c r="L76" s="681" t="n"/>
      <c r="M76" s="681" t="n"/>
      <c r="N76" s="681" t="n"/>
      <c r="O76" s="681" t="n"/>
      <c r="P76" s="681" t="n"/>
      <c r="Q76" s="681" t="n"/>
      <c r="R76" s="681" t="n"/>
      <c r="S76" s="681" t="n"/>
    </row>
    <row r="77" ht="11.25" customHeight="1" s="549"/>
    <row r="78" ht="14" customHeight="1" s="549">
      <c r="A78" s="686" t="n"/>
      <c r="B78" s="686" t="n"/>
      <c r="C78" s="686" t="n"/>
      <c r="D78" s="686" t="inlineStr">
        <is>
          <t>Factura</t>
        </is>
      </c>
      <c r="E78" s="686" t="n"/>
      <c r="F78" s="686" t="n"/>
      <c r="G78" s="686" t="n"/>
      <c r="H78" s="686" t="n"/>
      <c r="I78" s="686" t="n"/>
      <c r="J78" s="686" t="n"/>
      <c r="K78" s="686" t="n"/>
      <c r="L78" s="686" t="n"/>
      <c r="M78" s="686" t="n"/>
      <c r="N78" s="686" t="n"/>
      <c r="O78" s="686" t="n"/>
      <c r="P78" s="686" t="n"/>
      <c r="Q78" s="686" t="n"/>
      <c r="R78" s="686" t="n"/>
      <c r="S78" s="686" t="n"/>
    </row>
    <row r="79" ht="14" customHeight="1" s="549">
      <c r="A79" s="681" t="n"/>
      <c r="B79" s="681" t="n"/>
      <c r="C79" s="681" t="n"/>
      <c r="D79" s="681" t="inlineStr">
        <is>
          <t xml:space="preserve">Boleta </t>
        </is>
      </c>
      <c r="E79" s="681" t="n"/>
      <c r="F79" s="681" t="n"/>
      <c r="G79" s="681" t="n"/>
      <c r="H79" s="681" t="n"/>
      <c r="I79" s="681" t="n"/>
      <c r="J79" s="681" t="n"/>
      <c r="K79" s="681" t="n"/>
      <c r="L79" s="681" t="n"/>
      <c r="M79" s="681" t="n"/>
      <c r="N79" s="681" t="n"/>
      <c r="O79" s="681" t="n"/>
      <c r="P79" s="681" t="n"/>
      <c r="Q79" s="681" t="n"/>
      <c r="R79" s="681" t="n"/>
      <c r="S79" s="681" t="n"/>
    </row>
    <row r="80" ht="14" customHeight="1" s="549">
      <c r="A80" s="686" t="n"/>
      <c r="B80" s="686" t="n"/>
      <c r="C80" s="686" t="n"/>
      <c r="D80" s="686" t="inlineStr">
        <is>
          <t>B. Honorarios</t>
        </is>
      </c>
      <c r="E80" s="686" t="n"/>
      <c r="F80" s="686" t="n"/>
      <c r="G80" s="686" t="n"/>
      <c r="H80" s="686" t="n"/>
      <c r="I80" s="686" t="n"/>
      <c r="J80" s="686" t="n"/>
      <c r="K80" s="686" t="n"/>
      <c r="L80" s="686" t="n"/>
      <c r="M80" s="686" t="n"/>
      <c r="N80" s="686" t="n"/>
      <c r="O80" s="686" t="n"/>
      <c r="P80" s="686" t="n"/>
      <c r="Q80" s="686" t="n"/>
      <c r="R80" s="686" t="n"/>
      <c r="S80" s="686" t="n"/>
    </row>
    <row r="81" ht="14" customHeight="1" s="549">
      <c r="A81" s="681" t="n"/>
      <c r="B81" s="681" t="n"/>
      <c r="C81" s="681" t="n"/>
      <c r="D81" s="681" t="inlineStr">
        <is>
          <t xml:space="preserve">Factura o Boleta </t>
        </is>
      </c>
      <c r="E81" s="681" t="n"/>
      <c r="F81" s="681" t="n"/>
      <c r="G81" s="681" t="n"/>
      <c r="H81" s="681" t="n"/>
      <c r="I81" s="681" t="n"/>
      <c r="J81" s="681" t="n"/>
      <c r="K81" s="681" t="n"/>
      <c r="L81" s="681" t="n"/>
      <c r="M81" s="681" t="n"/>
      <c r="N81" s="681" t="n"/>
      <c r="O81" s="681" t="n"/>
      <c r="P81" s="681" t="n"/>
      <c r="Q81" s="681" t="n"/>
      <c r="R81" s="681" t="n"/>
      <c r="S81" s="681" t="n"/>
    </row>
    <row r="82" ht="14" customHeight="1" s="549">
      <c r="A82" s="686" t="n"/>
      <c r="B82" s="686" t="n"/>
      <c r="C82" s="686" t="n"/>
      <c r="D82" s="686" t="inlineStr">
        <is>
          <t>Costo Empresa</t>
        </is>
      </c>
      <c r="E82" s="686" t="n"/>
      <c r="F82" s="686" t="n"/>
      <c r="G82" s="686" t="n"/>
      <c r="H82" s="686" t="n"/>
      <c r="I82" s="686" t="n"/>
      <c r="J82" s="686" t="n"/>
      <c r="K82" s="686" t="n"/>
      <c r="L82" s="686" t="n"/>
      <c r="M82" s="686" t="n"/>
      <c r="N82" s="686" t="n"/>
      <c r="O82" s="686" t="n"/>
      <c r="P82" s="686" t="n"/>
      <c r="Q82" s="686" t="n"/>
      <c r="R82" s="686" t="n"/>
      <c r="S82" s="686" t="n"/>
    </row>
  </sheetData>
  <mergeCells count="1">
    <mergeCell ref="A1:S1"/>
  </mergeCells>
  <dataValidations disablePrompts="1" count="1">
    <dataValidation sqref="B8:B45 B47:B48 B51:B71" showDropDown="0" showInputMessage="1" showErrorMessage="1" allowBlank="1" type="list">
      <formula1>$D$77:$D$84</formula1>
      <formula2>0</formula2>
    </dataValidation>
  </dataValidations>
  <pageMargins left="0.7" right="0.7" top="0.75" bottom="0.75" header="0.511811023622047" footer="0.511811023622047"/>
  <pageSetup orientation="portrait" horizontalDpi="300" verticalDpi="300"/>
  <legacyDrawing xmlns:r="http://schemas.openxmlformats.org/officeDocument/2006/relationships" r:id="anysvml"/>
</worksheet>
</file>

<file path=xl/worksheets/sheet11.xml><?xml version="1.0" encoding="utf-8"?>
<worksheet xmlns="http://schemas.openxmlformats.org/spreadsheetml/2006/main">
  <sheetPr>
    <tabColor rgb="FFC00000"/>
    <outlinePr summaryBelow="1" summaryRight="1"/>
    <pageSetUpPr/>
  </sheetPr>
  <dimension ref="A1:I29"/>
  <sheetViews>
    <sheetView showGridLines="0" zoomScaleNormal="100" workbookViewId="0">
      <pane xSplit="3" ySplit="3" topLeftCell="D14" activePane="bottomRight" state="frozen"/>
      <selection pane="topRight" activeCell="D1" sqref="D1"/>
      <selection pane="bottomLeft" activeCell="A14" sqref="A14"/>
      <selection pane="bottomRight" activeCell="A1" sqref="A1:I1"/>
    </sheetView>
  </sheetViews>
  <sheetFormatPr baseColWidth="10" defaultColWidth="8.7109375" defaultRowHeight="15"/>
  <cols>
    <col width="47" customWidth="1" style="549" min="1" max="1"/>
    <col width="17" customWidth="1" style="549" min="2" max="3"/>
    <col width="18" customWidth="1" style="549" min="3" max="3"/>
    <col width="47" customWidth="1" style="549" min="4" max="4"/>
    <col width="18" customWidth="1" style="549" min="5" max="6"/>
    <col width="17" customWidth="1" style="549" min="6" max="6"/>
    <col width="17" customWidth="1" style="549" min="7" max="7"/>
    <col width="47" customWidth="1" style="549" min="8" max="9"/>
    <col width="47" customWidth="1" style="549" min="9" max="9"/>
  </cols>
  <sheetData>
    <row r="1" ht="20" customHeight="1" s="549">
      <c r="A1" s="746" t="inlineStr">
        <is>
          <t>DIAGNÓSTICO DE VÍNCULOS — Filas de Flujo Neto/Bruto NO capturadas por Analítica/Cashflow</t>
        </is>
      </c>
    </row>
    <row r="2" ht="18" customHeight="1" s="549">
      <c r="A2" s="660" t="inlineStr">
        <is>
          <t>Estas son las filas que existen en Flujo Neto/Flujo Bruto pero que Analítica y/o Cashflow NO están sumando. Debes agregar manualmente las fórmulas indicadas en las columnas H e I.</t>
        </is>
      </c>
    </row>
    <row r="3" ht="24" customHeight="1" s="549">
      <c r="A3" s="747" t="inlineStr">
        <is>
          <t>N°</t>
        </is>
      </c>
      <c r="B3" s="747" t="inlineStr">
        <is>
          <t>Flujo Neto
Fila</t>
        </is>
      </c>
      <c r="C3" s="747" t="inlineStr">
        <is>
          <t>Flujo Bruto
Fila</t>
        </is>
      </c>
      <c r="D3" s="747" t="inlineStr">
        <is>
          <t>Ítem / Descripción</t>
        </is>
      </c>
      <c r="E3" s="747" t="inlineStr">
        <is>
          <t>Código
Analítica</t>
        </is>
      </c>
      <c r="F3" s="747" t="inlineStr">
        <is>
          <t>Código
Cashflow</t>
        </is>
      </c>
      <c r="G3" s="747" t="inlineStr">
        <is>
          <t>Estado
coverage</t>
        </is>
      </c>
      <c r="H3" s="747" t="inlineStr">
        <is>
          <t>Fórmula a agregar en ANALÍTICA
(columna G en adelante, patrón por mes)</t>
        </is>
      </c>
      <c r="I3" s="747" t="inlineStr">
        <is>
          <t>Fórmula a agregar en CASHFLOW
(columna C en adelante, patrón por mes)</t>
        </is>
      </c>
    </row>
    <row r="4" ht="14" customHeight="1" s="549">
      <c r="A4" s="730" t="n">
        <v>1</v>
      </c>
      <c r="B4" s="730" t="n">
        <v>14</v>
      </c>
      <c r="C4" s="730" t="n">
        <v>14</v>
      </c>
      <c r="D4" s="694" t="inlineStr">
        <is>
          <t>2.1 — Estructura</t>
        </is>
      </c>
      <c r="E4" s="694" t="inlineStr">
        <is>
          <t>23</t>
        </is>
      </c>
      <c r="F4" s="694" t="inlineStr">
        <is>
          <t>b.2</t>
        </is>
      </c>
      <c r="G4" s="694" t="inlineStr">
        <is>
          <t>⚠ FALTA</t>
        </is>
      </c>
      <c r="H4" s="694" t="inlineStr">
        <is>
          <t>Anal.G18: +'Flujo Neto'!H13+SUM('Flujo Neto'!H14:H16) [replicar cols H..AE]</t>
        </is>
      </c>
      <c r="I4" s="694" t="inlineStr">
        <is>
          <t>Cashflow!C18 → +'Flujo Bruto'!H13+SUM('Flujo Bruto'!H14:H16)</t>
        </is>
      </c>
    </row>
    <row r="5" ht="14" customHeight="1" s="549">
      <c r="A5" s="757" t="n">
        <v>2</v>
      </c>
      <c r="B5" s="757" t="n">
        <v>15</v>
      </c>
      <c r="C5" s="757" t="n">
        <v>15</v>
      </c>
      <c r="D5" s="693" t="inlineStr">
        <is>
          <t>2.2 — Materiales instalación</t>
        </is>
      </c>
      <c r="E5" s="693" t="inlineStr">
        <is>
          <t>23</t>
        </is>
      </c>
      <c r="F5" s="693" t="inlineStr">
        <is>
          <t>b.2</t>
        </is>
      </c>
      <c r="G5" s="693" t="inlineStr">
        <is>
          <t>⚠ FALTA</t>
        </is>
      </c>
      <c r="H5" s="693" t="inlineStr">
        <is>
          <t>Ver nota 2.1 — misma fórmula de grupo</t>
        </is>
      </c>
      <c r="I5" s="693" t="inlineStr">
        <is>
          <t>Ver nota 2.1</t>
        </is>
      </c>
    </row>
    <row r="6" ht="14" customHeight="1" s="549">
      <c r="A6" s="730" t="n">
        <v>3</v>
      </c>
      <c r="B6" s="730" t="n">
        <v>16</v>
      </c>
      <c r="C6" s="730" t="n">
        <v>16</v>
      </c>
      <c r="D6" s="694" t="inlineStr">
        <is>
          <t>2.3 — Herramientas</t>
        </is>
      </c>
      <c r="E6" s="694" t="inlineStr">
        <is>
          <t>23</t>
        </is>
      </c>
      <c r="F6" s="694" t="inlineStr">
        <is>
          <t>b.2</t>
        </is>
      </c>
      <c r="G6" s="694" t="inlineStr">
        <is>
          <t>⚠ FALTA</t>
        </is>
      </c>
      <c r="H6" s="694" t="inlineStr">
        <is>
          <t>Ver nota 2.1</t>
        </is>
      </c>
      <c r="I6" s="694" t="inlineStr">
        <is>
          <t>Ver nota 2.1</t>
        </is>
      </c>
    </row>
    <row r="7" ht="14" customHeight="1" s="549">
      <c r="A7" s="757" t="n">
        <v>4</v>
      </c>
      <c r="B7" s="757" t="n">
        <v>18</v>
      </c>
      <c r="C7" s="757" t="n">
        <v>18</v>
      </c>
      <c r="D7" s="693" t="inlineStr">
        <is>
          <t>3.1 — Planilla Actual</t>
        </is>
      </c>
      <c r="E7" s="693" t="inlineStr">
        <is>
          <t>24</t>
        </is>
      </c>
      <c r="F7" s="693" t="inlineStr">
        <is>
          <t>b.4</t>
        </is>
      </c>
      <c r="G7" s="693" t="inlineStr">
        <is>
          <t>⚠ FALTA</t>
        </is>
      </c>
      <c r="H7" s="693" t="inlineStr">
        <is>
          <t>Si requieres detalle: Anal.G19 → +'Flujo Neto'!H17+'Flujo Neto'!H18</t>
        </is>
      </c>
      <c r="I7" s="693" t="inlineStr">
        <is>
          <t>Si requieres detalle: Cash.C10 → +'Flujo Bruto'!H17+'Flujo Bruto'!H18</t>
        </is>
      </c>
    </row>
    <row r="8" ht="14" customHeight="1" s="549">
      <c r="A8" s="730" t="n">
        <v>5</v>
      </c>
      <c r="B8" s="730" t="n">
        <v>19</v>
      </c>
      <c r="C8" s="730" t="n">
        <v>19</v>
      </c>
      <c r="D8" s="694" t="inlineStr">
        <is>
          <t>3.2 — Descarga Estructura</t>
        </is>
      </c>
      <c r="E8" s="694" t="inlineStr">
        <is>
          <t>24</t>
        </is>
      </c>
      <c r="F8" s="694" t="inlineStr">
        <is>
          <t>b.4</t>
        </is>
      </c>
      <c r="G8" s="694" t="inlineStr">
        <is>
          <t>✓ OK subtotal</t>
        </is>
      </c>
      <c r="H8" s="694" t="inlineStr">
        <is>
          <t>Sin acción requerida mientras valor=0</t>
        </is>
      </c>
      <c r="I8" s="694" t="inlineStr">
        <is>
          <t>Sin acción requerida mientras valor=0</t>
        </is>
      </c>
    </row>
    <row r="9" ht="14" customHeight="1" s="549">
      <c r="A9" s="757" t="n">
        <v>6</v>
      </c>
      <c r="B9" s="757" t="n">
        <v>21</v>
      </c>
      <c r="C9" s="757" t="n">
        <v>21</v>
      </c>
      <c r="D9" s="693" t="inlineStr">
        <is>
          <t>4.1 — Encargado Logística</t>
        </is>
      </c>
      <c r="E9" s="693" t="inlineStr">
        <is>
          <t>25.6</t>
        </is>
      </c>
      <c r="F9" s="693" t="inlineStr">
        <is>
          <t>b.4</t>
        </is>
      </c>
      <c r="G9" s="693" t="inlineStr">
        <is>
          <t>⚠ FALTA</t>
        </is>
      </c>
      <c r="H9" s="693" t="inlineStr">
        <is>
          <t>Anal.G26 → ampliar: +'Flujo Neto'!H20+SUM('Flujo Neto'!H21:H27)  — o dejar en subtotal fila 20</t>
        </is>
      </c>
      <c r="I9" s="693" t="inlineStr">
        <is>
          <t>Cash.C13 → +'Flujo Bruto'!H20+SUM('Flujo Bruto'!H21:H27)</t>
        </is>
      </c>
    </row>
    <row r="10" ht="14" customHeight="1" s="549">
      <c r="A10" s="730" t="n">
        <v>7</v>
      </c>
      <c r="B10" s="730" t="n">
        <v>22</v>
      </c>
      <c r="C10" s="730" t="n">
        <v>22</v>
      </c>
      <c r="D10" s="694" t="inlineStr">
        <is>
          <t>4.2 — Técnico instalación (Plan A)</t>
        </is>
      </c>
      <c r="E10" s="694" t="inlineStr">
        <is>
          <t>25.6</t>
        </is>
      </c>
      <c r="F10" s="694" t="inlineStr">
        <is>
          <t>b.4</t>
        </is>
      </c>
      <c r="G10" s="694" t="inlineStr">
        <is>
          <t>⚠ FALTA</t>
        </is>
      </c>
      <c r="H10" s="694" t="inlineStr">
        <is>
          <t>Ver nota 4.1</t>
        </is>
      </c>
      <c r="I10" s="694" t="inlineStr">
        <is>
          <t>Ver nota 4.1</t>
        </is>
      </c>
    </row>
    <row r="11" ht="14" customHeight="1" s="549">
      <c r="A11" s="757" t="n">
        <v>8</v>
      </c>
      <c r="B11" s="757" t="n">
        <v>23</v>
      </c>
      <c r="C11" s="757" t="n">
        <v>23</v>
      </c>
      <c r="D11" s="693" t="inlineStr">
        <is>
          <t>4.3 — Técnico mensual (Plan B)</t>
        </is>
      </c>
      <c r="E11" s="693" t="inlineStr">
        <is>
          <t>25.6</t>
        </is>
      </c>
      <c r="F11" s="693" t="inlineStr">
        <is>
          <t>b.4</t>
        </is>
      </c>
      <c r="G11" s="693" t="inlineStr">
        <is>
          <t>⚠ FALTA</t>
        </is>
      </c>
      <c r="H11" s="693" t="inlineStr">
        <is>
          <t>Ver nota 4.1</t>
        </is>
      </c>
      <c r="I11" s="693" t="inlineStr">
        <is>
          <t>Ver nota 4.1</t>
        </is>
      </c>
    </row>
    <row r="12" ht="14" customHeight="1" s="549">
      <c r="A12" s="730" t="n">
        <v>9</v>
      </c>
      <c r="B12" s="730" t="n">
        <v>24</v>
      </c>
      <c r="C12" s="730" t="n">
        <v>24</v>
      </c>
      <c r="D12" s="694" t="inlineStr">
        <is>
          <t>4.4 — Ayudante mensual (Plan B)</t>
        </is>
      </c>
      <c r="E12" s="694" t="inlineStr">
        <is>
          <t>25.6</t>
        </is>
      </c>
      <c r="F12" s="694" t="inlineStr">
        <is>
          <t>b.4</t>
        </is>
      </c>
      <c r="G12" s="694" t="inlineStr">
        <is>
          <t>⚠ FALTA</t>
        </is>
      </c>
      <c r="H12" s="694" t="inlineStr">
        <is>
          <t>Ver nota 4.1</t>
        </is>
      </c>
      <c r="I12" s="694" t="inlineStr">
        <is>
          <t>Ver nota 4.1</t>
        </is>
      </c>
    </row>
    <row r="13" ht="14" customHeight="1" s="549">
      <c r="A13" s="757" t="n">
        <v>10</v>
      </c>
      <c r="B13" s="757" t="n">
        <v>25</v>
      </c>
      <c r="C13" s="757" t="n">
        <v>25</v>
      </c>
      <c r="D13" s="693" t="inlineStr">
        <is>
          <t>4.5 — Apoyo Planos TE-1</t>
        </is>
      </c>
      <c r="E13" s="693" t="inlineStr">
        <is>
          <t>25.6</t>
        </is>
      </c>
      <c r="F13" s="693" t="inlineStr">
        <is>
          <t>b.4</t>
        </is>
      </c>
      <c r="G13" s="693" t="inlineStr">
        <is>
          <t>⚠ FALTA</t>
        </is>
      </c>
      <c r="H13" s="693" t="inlineStr">
        <is>
          <t>Ver nota 4.1</t>
        </is>
      </c>
      <c r="I13" s="693" t="inlineStr">
        <is>
          <t>Ver nota 4.1</t>
        </is>
      </c>
    </row>
    <row r="14" ht="14" customHeight="1" s="549">
      <c r="A14" s="730" t="n">
        <v>11</v>
      </c>
      <c r="B14" s="730" t="n">
        <v>26</v>
      </c>
      <c r="C14" s="730" t="n">
        <v>26</v>
      </c>
      <c r="D14" s="694" t="inlineStr">
        <is>
          <t>4.6 — Encargado territorial</t>
        </is>
      </c>
      <c r="E14" s="694" t="inlineStr">
        <is>
          <t>25.6</t>
        </is>
      </c>
      <c r="F14" s="694" t="inlineStr">
        <is>
          <t>b.4</t>
        </is>
      </c>
      <c r="G14" s="694" t="inlineStr">
        <is>
          <t>✓ OK subtotal</t>
        </is>
      </c>
      <c r="H14" s="694" t="inlineStr">
        <is>
          <t>Sin acción requerida mientras valor=0</t>
        </is>
      </c>
      <c r="I14" s="694" t="inlineStr">
        <is>
          <t>Sin acción requerida</t>
        </is>
      </c>
    </row>
    <row r="15" ht="14" customHeight="1" s="549">
      <c r="A15" s="757" t="n">
        <v>12</v>
      </c>
      <c r="B15" s="757" t="n">
        <v>27</v>
      </c>
      <c r="C15" s="757" t="n">
        <v>27</v>
      </c>
      <c r="D15" s="693" t="inlineStr">
        <is>
          <t>4.7 — Apoyo Financiero</t>
        </is>
      </c>
      <c r="E15" s="693" t="inlineStr">
        <is>
          <t>25.6</t>
        </is>
      </c>
      <c r="F15" s="693" t="inlineStr">
        <is>
          <t>b.4</t>
        </is>
      </c>
      <c r="G15" s="693" t="inlineStr">
        <is>
          <t>✓ OK subtotal</t>
        </is>
      </c>
      <c r="H15" s="693" t="inlineStr">
        <is>
          <t>Sin acción requerida</t>
        </is>
      </c>
      <c r="I15" s="693" t="inlineStr">
        <is>
          <t>Sin acción requerida</t>
        </is>
      </c>
    </row>
    <row r="16" ht="14" customHeight="1" s="549">
      <c r="A16" s="730" t="n">
        <v>13</v>
      </c>
      <c r="B16" s="730" t="n">
        <v>30</v>
      </c>
      <c r="C16" s="730" t="n">
        <v>30</v>
      </c>
      <c r="D16" s="694" t="inlineStr">
        <is>
          <t>5. — Subtotal Alquileres RRCC</t>
        </is>
      </c>
      <c r="E16" s="694" t="inlineStr">
        <is>
          <t>25.1</t>
        </is>
      </c>
      <c r="F16" s="694" t="inlineStr">
        <is>
          <t>b.3</t>
        </is>
      </c>
      <c r="G16" s="694" t="inlineStr">
        <is>
          <t>✓ OK subtotal</t>
        </is>
      </c>
      <c r="H16" s="694" t="inlineStr">
        <is>
          <t>Anal.G21 → agregar +'Flujo Neto'!H32  (Vehículo RRCC mensual)</t>
        </is>
      </c>
      <c r="I16" s="694" t="inlineStr">
        <is>
          <t>✓ Cashflow YA incluye fila 32</t>
        </is>
      </c>
    </row>
    <row r="17" ht="14" customHeight="1" s="549">
      <c r="A17" s="757" t="n">
        <v>14</v>
      </c>
      <c r="B17" s="757" t="n">
        <v>32</v>
      </c>
      <c r="C17" s="757" t="n">
        <v>32</v>
      </c>
      <c r="D17" s="693" t="inlineStr">
        <is>
          <t>5.2 — Vehículo RRCC</t>
        </is>
      </c>
      <c r="E17" s="693" t="inlineStr">
        <is>
          <t>25.1</t>
        </is>
      </c>
      <c r="F17" s="693" t="inlineStr">
        <is>
          <t>b.3</t>
        </is>
      </c>
      <c r="G17" s="693" t="inlineStr">
        <is>
          <t>⚠ FALTA</t>
        </is>
      </c>
      <c r="H17" s="693" t="inlineStr">
        <is>
          <t>Anal.G21 → añadir +'Flujo Neto'!H32 al final de la fórmula existente</t>
        </is>
      </c>
      <c r="I17" s="693" t="inlineStr">
        <is>
          <t>—</t>
        </is>
      </c>
    </row>
    <row r="18" ht="14" customHeight="1" s="549">
      <c r="A18" s="730" t="n">
        <v>15</v>
      </c>
      <c r="B18" s="730" t="n">
        <v>33</v>
      </c>
      <c r="C18" s="730" t="n">
        <v>33</v>
      </c>
      <c r="D18" s="694" t="inlineStr">
        <is>
          <t>6. — Subtotal Alquileres GT</t>
        </is>
      </c>
      <c r="E18" s="694" t="inlineStr">
        <is>
          <t>25.1/25.3</t>
        </is>
      </c>
      <c r="F18" s="694" t="inlineStr">
        <is>
          <t>b.3</t>
        </is>
      </c>
      <c r="G18" s="694" t="inlineStr">
        <is>
          <t>✓ OK subtotal</t>
        </is>
      </c>
      <c r="H18" s="694" t="inlineStr">
        <is>
          <t>Sin acción — sub-ítems cubiertos</t>
        </is>
      </c>
      <c r="I18" s="694" t="inlineStr">
        <is>
          <t>Sin acción</t>
        </is>
      </c>
    </row>
    <row r="19" ht="14" customHeight="1" s="549">
      <c r="A19" s="757" t="n">
        <v>16</v>
      </c>
      <c r="B19" s="757" t="n">
        <v>38</v>
      </c>
      <c r="C19" s="757" t="n">
        <v>38</v>
      </c>
      <c r="D19" s="693" t="inlineStr">
        <is>
          <t>7. — Subtotal Transporte</t>
        </is>
      </c>
      <c r="E19" s="693" t="inlineStr">
        <is>
          <t>25.7</t>
        </is>
      </c>
      <c r="F19" s="693" t="inlineStr">
        <is>
          <t>b.7</t>
        </is>
      </c>
      <c r="G19" s="693" t="inlineStr">
        <is>
          <t>✓ OK subtotal</t>
        </is>
      </c>
      <c r="H19" s="693" t="inlineStr">
        <is>
          <t>Sin acción — sub-ítems cubiertos</t>
        </is>
      </c>
      <c r="I19" s="693" t="inlineStr">
        <is>
          <t>Sin acción</t>
        </is>
      </c>
    </row>
    <row r="20" ht="14" customHeight="1" s="549">
      <c r="A20" s="730" t="n">
        <v>17</v>
      </c>
      <c r="B20" s="730" t="n">
        <v>46</v>
      </c>
      <c r="C20" s="730" t="n">
        <v>46</v>
      </c>
      <c r="D20" s="694" t="inlineStr">
        <is>
          <t>8. — Subtotal Viajes RRCC</t>
        </is>
      </c>
      <c r="E20" s="694" t="inlineStr">
        <is>
          <t>25.11/25.13</t>
        </is>
      </c>
      <c r="F20" s="694" t="inlineStr">
        <is>
          <t>b.5</t>
        </is>
      </c>
      <c r="G20" s="694" t="inlineStr">
        <is>
          <t>✓ OK subtotal</t>
        </is>
      </c>
      <c r="H20" s="694" t="inlineStr">
        <is>
          <t>Sin acción — sub-ítems cubiertos</t>
        </is>
      </c>
      <c r="I20" s="694" t="inlineStr">
        <is>
          <t>Sin acción</t>
        </is>
      </c>
    </row>
    <row r="21" ht="14" customHeight="1" s="549">
      <c r="A21" s="757" t="n">
        <v>18</v>
      </c>
      <c r="B21" s="757" t="n">
        <v>53</v>
      </c>
      <c r="C21" s="757" t="n">
        <v>53</v>
      </c>
      <c r="D21" s="693" t="inlineStr">
        <is>
          <t>9. — Subtotal Viajes GT</t>
        </is>
      </c>
      <c r="E21" s="693" t="inlineStr">
        <is>
          <t>25.11/25.13</t>
        </is>
      </c>
      <c r="F21" s="693" t="inlineStr">
        <is>
          <t>b.5</t>
        </is>
      </c>
      <c r="G21" s="693" t="inlineStr">
        <is>
          <t>✓ OK subtotal</t>
        </is>
      </c>
      <c r="H21" s="693" t="inlineStr">
        <is>
          <t>Sin acción — sub-ítems cubiertos</t>
        </is>
      </c>
      <c r="I21" s="693" t="inlineStr">
        <is>
          <t>Sin acción</t>
        </is>
      </c>
    </row>
    <row r="22" ht="14" customHeight="1" s="549">
      <c r="A22" s="730" t="n">
        <v>19</v>
      </c>
      <c r="B22" s="730" t="n">
        <v>60</v>
      </c>
      <c r="C22" s="730" t="n">
        <v>60</v>
      </c>
      <c r="D22" s="694" t="inlineStr">
        <is>
          <t>10. — Subtotal Gastos Varios</t>
        </is>
      </c>
      <c r="E22" s="694" t="inlineStr">
        <is>
          <t>25.14</t>
        </is>
      </c>
      <c r="F22" s="694" t="inlineStr">
        <is>
          <t>b.6</t>
        </is>
      </c>
      <c r="G22" s="694" t="inlineStr">
        <is>
          <t>✓ OK subtotal</t>
        </is>
      </c>
      <c r="H22" s="694" t="inlineStr">
        <is>
          <t>Sin acción — sub-ítems cubiertos</t>
        </is>
      </c>
      <c r="I22" s="694" t="inlineStr">
        <is>
          <t>Sin acción</t>
        </is>
      </c>
    </row>
    <row r="23"/>
    <row r="24" ht="14" customHeight="1" s="549">
      <c r="A24" s="829" t="inlineStr">
        <is>
          <t>LEYENDA — ⚠ FALTA: el ítem tiene valores monetarios que NO están siendo capturados por Analítica/Cashflow. Debes ampliar la fórmula manualmente.  ✓ OK subtotal: el ítem es un subtotal de grupo; los sub-ítems individuales sí están cubiertos, o bien la fila está vacía (valor=0).</t>
        </is>
      </c>
      <c r="B24" s="829" t="n"/>
      <c r="C24" s="829" t="n"/>
      <c r="D24" s="829" t="n"/>
      <c r="E24" s="829" t="n"/>
      <c r="F24" s="829" t="n"/>
      <c r="G24" s="829" t="n"/>
      <c r="H24" s="829" t="n"/>
      <c r="I24" s="829" t="n"/>
    </row>
    <row r="25"/>
    <row r="26" ht="14" customHeight="1" s="549">
      <c r="A26" s="829" t="inlineStr">
        <is>
          <t>RESUMEN: 3 acciones críticas a realizar manualmente en Analítica</t>
        </is>
      </c>
      <c r="B26" s="829" t="n"/>
      <c r="C26" s="829" t="n"/>
      <c r="D26" s="829" t="n"/>
      <c r="E26" s="829" t="n"/>
      <c r="F26" s="829" t="n"/>
      <c r="G26" s="829" t="n"/>
      <c r="H26" s="829" t="n"/>
      <c r="I26" s="829" t="n"/>
    </row>
    <row r="27" ht="14" customHeight="1" s="549">
      <c r="A27" s="686" t="inlineStr">
        <is>
          <t>ACCIÓN 1 — Grupo 2 (Insumos instalación)</t>
        </is>
      </c>
      <c r="B27" s="686" t="n"/>
      <c r="C27" s="686" t="n"/>
      <c r="D27" s="693" t="inlineStr">
        <is>
          <t>Analítica!G18: cambiar ='Flujo Neto'!H13  →  ='Flujo Neto'!H13+SUM('Flujo Neto'!H14:H16)
Cashflow!C18: cambiar ='Flujo Bruto'!H13  →  ='Flujo Bruto'!H13+SUM('Flujo Bruto'!H14:H16)
Replicar para columnas H..AE (Analítica) / D..AA (Cashflow) cambiando solo la letra de columna.</t>
        </is>
      </c>
      <c r="E27" s="686" t="n"/>
      <c r="F27" s="686" t="n"/>
      <c r="G27" s="686" t="n"/>
      <c r="H27" s="686" t="n"/>
      <c r="I27" s="686" t="n"/>
    </row>
    <row r="28" ht="14" customHeight="1" s="549">
      <c r="A28" s="681" t="inlineStr">
        <is>
          <t>ACCIÓN 2 — Grupo 3+4 (Personal + Servicios Prof.)</t>
        </is>
      </c>
      <c r="B28" s="681" t="n"/>
      <c r="C28" s="681" t="n"/>
      <c r="D28" s="694" t="inlineStr">
        <is>
          <t>Analítica!G19: cambiar ='Flujo Neto'!H17  →  ='Flujo Neto'!H17+SUM('Flujo Neto'!H18:H27)
Analítica!G26: cambiar ='Flujo Neto'!H20  →  ='Flujo Neto'!H20+SUM('Flujo Neto'!H21:H27)
Cashflow!C10: cambiar ='Flujo Bruto'!H17  →  ='Flujo Bruto'!H17+SUM('Flujo Bruto'!H18:H19)
Cashflow!C13: cambiar ='Flujo Bruto'!H20  →  ='Flujo Bruto'!H20+SUM('Flujo Bruto'!H21:H27)
Replicar para todas las columnas de meses.</t>
        </is>
      </c>
      <c r="E28" s="681" t="n"/>
      <c r="F28" s="681" t="n"/>
      <c r="G28" s="681" t="n"/>
      <c r="H28" s="681" t="n"/>
      <c r="I28" s="681" t="n"/>
    </row>
    <row r="29" ht="14" customHeight="1" s="549">
      <c r="A29" s="686" t="inlineStr">
        <is>
          <t>ACCIÓN 3 — Ítem 5.2 (Vehículo RRCC) — SOLO Analítica</t>
        </is>
      </c>
      <c r="B29" s="686" t="n"/>
      <c r="C29" s="686" t="n"/>
      <c r="D29" s="693" t="inlineStr">
        <is>
          <t>Analítica!G21: agregar +'Flujo Neto'!H32 al final de la fórmula existente.
La fórmula actual es: ='Flujo Neto'!H31+'Flujo Neto'!H35+'Flujo Neto'!H36+'Flujo Neto'!H37
Debe quedar:          ='Flujo Neto'!H31+'Flujo Neto'!H32+'Flujo Neto'!H35+'Flujo Neto'!H36+'Flujo Neto'!H37
Replicar para todas las columnas de meses. (Cashflow ya incluye fila 32.)</t>
        </is>
      </c>
      <c r="E29" s="686" t="n"/>
      <c r="F29" s="686" t="n"/>
      <c r="G29" s="686" t="n"/>
      <c r="H29" s="686" t="n"/>
      <c r="I29" s="686" t="n"/>
    </row>
  </sheetData>
  <mergeCells count="10">
    <mergeCell ref="A28:C28"/>
    <mergeCell ref="D27:I27"/>
    <mergeCell ref="A2:I2"/>
    <mergeCell ref="D28:I28"/>
    <mergeCell ref="D29:I29"/>
    <mergeCell ref="A1:I1"/>
    <mergeCell ref="A27:C27"/>
    <mergeCell ref="A29:C29"/>
    <mergeCell ref="A26:I26"/>
    <mergeCell ref="A24:I24"/>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2E75B6"/>
    <outlinePr summaryBelow="1" summaryRight="1"/>
    <pageSetUpPr/>
  </sheetPr>
  <dimension ref="A1:P76"/>
  <sheetViews>
    <sheetView showGridLines="0" zoomScaleNormal="100" workbookViewId="0">
      <pane xSplit="4" ySplit="4" topLeftCell="E54" activePane="bottomRight" state="frozen"/>
      <selection pane="topRight" activeCell="E1" sqref="E1"/>
      <selection pane="bottomLeft" activeCell="A8" sqref="A8"/>
      <selection pane="bottomRight" activeCell="B66" sqref="B66:O69"/>
    </sheetView>
  </sheetViews>
  <sheetFormatPr baseColWidth="10" defaultColWidth="8.7109375" defaultRowHeight="15"/>
  <cols>
    <col width="47" customWidth="1" style="549" min="1" max="1"/>
    <col width="47" customWidth="1" style="549" min="2" max="2"/>
    <col width="10" customWidth="1" style="549" min="3" max="3"/>
    <col width="20" customWidth="1" style="549" min="4" max="4"/>
    <col width="10" customWidth="1" style="549" min="5" max="5"/>
    <col width="20" customWidth="1" style="549" min="6" max="6"/>
    <col width="10" customWidth="1" style="549" min="7" max="7"/>
    <col width="21" customWidth="1" style="549" min="8" max="8"/>
    <col width="10" customWidth="1" style="549" min="9" max="9"/>
    <col width="22" customWidth="1" style="549" min="10" max="10"/>
    <col width="10" customWidth="1" style="549" min="11" max="11"/>
    <col width="23" customWidth="1" style="549" min="12" max="12"/>
    <col width="10" customWidth="1" style="549" min="13" max="13"/>
    <col width="22" customWidth="1" style="549" min="14" max="14"/>
    <col width="10" customWidth="1" style="549" min="15" max="16"/>
    <col width="10" customWidth="1" style="549" min="16" max="16"/>
  </cols>
  <sheetData>
    <row r="1" ht="20" customHeight="1" s="549">
      <c r="A1" s="746" t="inlineStr">
        <is>
          <t>CARTA GANTT — PROYECTO LUZ EN CASA · GORE COQUIMBO</t>
        </is>
      </c>
    </row>
    <row r="2" ht="15.75" customHeight="1" s="549">
      <c r="A2" s="582" t="inlineStr">
        <is>
          <t>Fundación acciona.org · Financiamiento FNDR · 75 sistemas FV domiciliarios · Período de ejecución: julio 2026 – febrero 2027 (instalaciones) · cierre junio 2027</t>
        </is>
      </c>
    </row>
    <row r="3" ht="24" customHeight="1" s="549">
      <c r="A3" s="747" t="n"/>
      <c r="B3" s="747" t="n"/>
      <c r="C3" s="747" t="n"/>
      <c r="D3" s="747" t="n"/>
      <c r="E3" s="747" t="inlineStr">
        <is>
          <t>2026</t>
        </is>
      </c>
      <c r="F3" s="747" t="n"/>
      <c r="G3" s="747" t="n"/>
      <c r="H3" s="747" t="n"/>
      <c r="I3" s="747" t="n"/>
      <c r="J3" s="747" t="n"/>
      <c r="K3" s="747" t="inlineStr">
        <is>
          <t>2027</t>
        </is>
      </c>
      <c r="L3" s="747" t="n"/>
      <c r="M3" s="747" t="n"/>
      <c r="N3" s="747" t="n"/>
      <c r="O3" s="747" t="n"/>
      <c r="P3" s="747" t="n"/>
    </row>
    <row r="4" ht="14" customHeight="1" s="549">
      <c r="A4" s="733" t="inlineStr">
        <is>
          <t>Fase</t>
        </is>
      </c>
      <c r="B4" s="733" t="inlineStr">
        <is>
          <t>Actividad / Hito</t>
        </is>
      </c>
      <c r="C4" s="733" t="inlineStr">
        <is>
          <t>Dur.</t>
        </is>
      </c>
      <c r="D4" s="733" t="inlineStr">
        <is>
          <t>Responsable</t>
        </is>
      </c>
      <c r="E4" s="733" t="inlineStr">
        <is>
          <t>Jul
2026</t>
        </is>
      </c>
      <c r="F4" s="733" t="inlineStr">
        <is>
          <t>Ago
2026</t>
        </is>
      </c>
      <c r="G4" s="733" t="inlineStr">
        <is>
          <t>Sep
2026</t>
        </is>
      </c>
      <c r="H4" s="733" t="inlineStr">
        <is>
          <t>Oct
2026</t>
        </is>
      </c>
      <c r="I4" s="733" t="inlineStr">
        <is>
          <t>Nov
2026</t>
        </is>
      </c>
      <c r="J4" s="733" t="inlineStr">
        <is>
          <t>Dic
2026</t>
        </is>
      </c>
      <c r="K4" s="733" t="inlineStr">
        <is>
          <t>Ene
2027</t>
        </is>
      </c>
      <c r="L4" s="733" t="inlineStr">
        <is>
          <t>Feb
2027</t>
        </is>
      </c>
      <c r="M4" s="733" t="inlineStr">
        <is>
          <t>Mar
2027</t>
        </is>
      </c>
      <c r="N4" s="733" t="inlineStr">
        <is>
          <t>Abr
2027</t>
        </is>
      </c>
      <c r="O4" s="733" t="inlineStr">
        <is>
          <t>May
2027</t>
        </is>
      </c>
      <c r="P4" s="733" t="inlineStr">
        <is>
          <t>Jun
2027</t>
        </is>
      </c>
    </row>
    <row r="5" ht="6" customHeight="1" s="549">
      <c r="A5" s="117" t="n"/>
      <c r="B5" s="117" t="n"/>
      <c r="C5" s="117" t="n"/>
      <c r="D5" s="117" t="n"/>
      <c r="E5" s="117" t="n"/>
      <c r="F5" s="117" t="n"/>
      <c r="G5" s="117" t="n"/>
      <c r="H5" s="117" t="n"/>
      <c r="I5" s="117" t="n"/>
      <c r="J5" s="117" t="n"/>
      <c r="K5" s="117" t="n"/>
      <c r="L5" s="117" t="n"/>
      <c r="M5" s="117" t="n"/>
      <c r="N5" s="117" t="n"/>
      <c r="O5" s="117" t="n"/>
      <c r="P5" s="117" t="n"/>
    </row>
    <row r="6" ht="14" customHeight="1" s="549">
      <c r="A6" s="756" t="inlineStr">
        <is>
          <t>GESTIÓN</t>
        </is>
      </c>
      <c r="B6" s="749" t="inlineStr">
        <is>
          <t xml:space="preserve">  FASE 1 — GESTIÓN Y SUSCRIPCIÓN DE CONVENIO</t>
        </is>
      </c>
      <c r="C6" s="757" t="n"/>
      <c r="D6" s="756" t="n"/>
      <c r="E6" s="757" t="n"/>
      <c r="F6" s="757" t="n"/>
      <c r="G6" s="686" t="n"/>
      <c r="H6" s="686" t="n"/>
      <c r="I6" s="686" t="n"/>
      <c r="J6" s="686" t="n"/>
      <c r="K6" s="686" t="n"/>
      <c r="L6" s="686" t="n"/>
      <c r="M6" s="686" t="n"/>
      <c r="N6" s="686" t="n"/>
      <c r="O6" s="686" t="n"/>
      <c r="P6" s="686" t="n"/>
    </row>
    <row r="7" ht="14" customHeight="1" s="549">
      <c r="A7" s="733" t="inlineStr">
        <is>
          <t>Gestión</t>
        </is>
      </c>
      <c r="B7" s="729" t="inlineStr">
        <is>
          <t xml:space="preserve">      Elaboración y revisión Resolución Exenta de aprobación GORE</t>
        </is>
      </c>
      <c r="C7" s="730" t="inlineStr">
        <is>
          <t>3s</t>
        </is>
      </c>
      <c r="D7" s="733" t="inlineStr">
        <is>
          <t>Agustín D. / GORE</t>
        </is>
      </c>
      <c r="E7" s="730" t="n"/>
      <c r="F7" s="681" t="n"/>
      <c r="G7" s="681" t="n"/>
      <c r="H7" s="681" t="n"/>
      <c r="I7" s="681" t="n"/>
      <c r="J7" s="681" t="n"/>
      <c r="K7" s="681" t="n"/>
      <c r="L7" s="681" t="n"/>
      <c r="M7" s="681" t="n"/>
      <c r="N7" s="681" t="n"/>
      <c r="O7" s="681" t="n"/>
      <c r="P7" s="681" t="n"/>
    </row>
    <row r="8" ht="14" customHeight="1" s="549">
      <c r="A8" s="756" t="inlineStr">
        <is>
          <t>Gestión</t>
        </is>
      </c>
      <c r="B8" s="749" t="inlineStr">
        <is>
          <t xml:space="preserve">      Suscripción convenio de transferencia GORE · habilitación SISREC · FEA</t>
        </is>
      </c>
      <c r="C8" s="757" t="inlineStr">
        <is>
          <t>3s</t>
        </is>
      </c>
      <c r="D8" s="756" t="inlineStr">
        <is>
          <t>Agustín D. / GORE</t>
        </is>
      </c>
      <c r="E8" s="757" t="n"/>
      <c r="F8" s="686" t="n"/>
      <c r="G8" s="686" t="n"/>
      <c r="H8" s="686" t="n"/>
      <c r="I8" s="686" t="n"/>
      <c r="J8" s="686" t="n"/>
      <c r="K8" s="686" t="n"/>
      <c r="L8" s="686" t="n"/>
      <c r="M8" s="686" t="n"/>
      <c r="N8" s="686" t="n"/>
      <c r="O8" s="686" t="n"/>
      <c r="P8" s="686" t="n"/>
    </row>
    <row r="9" ht="14" customHeight="1" s="549">
      <c r="A9" s="733" t="inlineStr">
        <is>
          <t>Gestión</t>
        </is>
      </c>
      <c r="B9" s="729" t="inlineStr">
        <is>
          <t xml:space="preserve">      Designación de roles rendición (SISREC) · apertura cuenta bancaria proyecto</t>
        </is>
      </c>
      <c r="C9" s="730" t="inlineStr">
        <is>
          <t>3s</t>
        </is>
      </c>
      <c r="D9" s="733" t="inlineStr">
        <is>
          <t>Agustín D. / GORE</t>
        </is>
      </c>
      <c r="E9" s="730" t="n"/>
      <c r="F9" s="681" t="n"/>
      <c r="G9" s="681" t="n"/>
      <c r="H9" s="681" t="n"/>
      <c r="I9" s="681" t="n"/>
      <c r="J9" s="681" t="n"/>
      <c r="K9" s="681" t="n"/>
      <c r="L9" s="681" t="n"/>
      <c r="M9" s="681" t="n"/>
      <c r="N9" s="681" t="n"/>
      <c r="O9" s="681" t="n"/>
      <c r="P9" s="681" t="n"/>
    </row>
    <row r="10" ht="14" customHeight="1" s="549">
      <c r="A10" s="756" t="inlineStr">
        <is>
          <t>Gestión</t>
        </is>
      </c>
      <c r="B10" s="749" t="inlineStr">
        <is>
          <t xml:space="preserve">      Coordinación con DIPIR (GORE) · calendario de cuotas FNDR</t>
        </is>
      </c>
      <c r="C10" s="757" t="inlineStr">
        <is>
          <t>1m</t>
        </is>
      </c>
      <c r="D10" s="756" t="inlineStr">
        <is>
          <t>Agustín D. / GORE</t>
        </is>
      </c>
      <c r="E10" s="757" t="n"/>
      <c r="F10" s="757" t="n"/>
      <c r="G10" s="686" t="n"/>
      <c r="H10" s="686" t="n"/>
      <c r="I10" s="686" t="n"/>
      <c r="J10" s="686" t="n"/>
      <c r="K10" s="686" t="n"/>
      <c r="L10" s="686" t="n"/>
      <c r="M10" s="686" t="n"/>
      <c r="N10" s="686" t="n"/>
      <c r="O10" s="686" t="n"/>
      <c r="P10" s="686" t="n"/>
    </row>
    <row r="11" ht="14" customHeight="1" s="549">
      <c r="A11" s="733" t="inlineStr">
        <is>
          <t>Gestión</t>
        </is>
      </c>
      <c r="B11" s="729" t="inlineStr">
        <is>
          <t xml:space="preserve">  ◆  Convenio firmado · primera cuota recibida</t>
        </is>
      </c>
      <c r="C11" s="730" t="inlineStr">
        <is>
          <t>⬥</t>
        </is>
      </c>
      <c r="D11" s="733" t="inlineStr">
        <is>
          <t>—</t>
        </is>
      </c>
      <c r="E11" s="681" t="n"/>
      <c r="F11" s="730" t="inlineStr">
        <is>
          <t>◆</t>
        </is>
      </c>
      <c r="G11" s="681" t="n"/>
      <c r="H11" s="681" t="n"/>
      <c r="I11" s="681" t="n"/>
      <c r="J11" s="681" t="n"/>
      <c r="K11" s="681" t="n"/>
      <c r="L11" s="681" t="n"/>
      <c r="M11" s="681" t="n"/>
      <c r="N11" s="681" t="n"/>
      <c r="O11" s="681" t="n"/>
      <c r="P11" s="681" t="n"/>
    </row>
    <row r="12" ht="6" customHeight="1" s="549">
      <c r="A12" s="117" t="n"/>
      <c r="B12" s="117" t="n"/>
      <c r="C12" s="117" t="n"/>
      <c r="D12" s="117" t="n"/>
      <c r="E12" s="117" t="n"/>
      <c r="F12" s="117" t="n"/>
      <c r="G12" s="117" t="n"/>
      <c r="H12" s="117" t="n"/>
      <c r="I12" s="117" t="n"/>
      <c r="J12" s="117" t="n"/>
      <c r="K12" s="117" t="n"/>
      <c r="L12" s="117" t="n"/>
      <c r="M12" s="117" t="n"/>
      <c r="N12" s="117" t="n"/>
      <c r="O12" s="117" t="n"/>
      <c r="P12" s="117" t="n"/>
    </row>
    <row r="13" ht="14" customHeight="1" s="549">
      <c r="A13" s="756" t="inlineStr">
        <is>
          <t>Compra
Equipos</t>
        </is>
      </c>
      <c r="B13" s="749" t="inlineStr">
        <is>
          <t xml:space="preserve">  FASE 2 — COMPRA DE EQUIPOS ZIMPERTEC</t>
        </is>
      </c>
      <c r="C13" s="757" t="n"/>
      <c r="D13" s="756" t="n"/>
      <c r="E13" s="757" t="n"/>
      <c r="F13" s="757" t="n"/>
      <c r="G13" s="686" t="n"/>
      <c r="H13" s="686" t="n"/>
      <c r="I13" s="686" t="n"/>
      <c r="J13" s="686" t="n"/>
      <c r="K13" s="686" t="n"/>
      <c r="L13" s="686" t="n"/>
      <c r="M13" s="686" t="n"/>
      <c r="N13" s="686" t="n"/>
      <c r="O13" s="686" t="n"/>
      <c r="P13" s="686" t="n"/>
    </row>
    <row r="14" ht="14" customHeight="1" s="549">
      <c r="A14" s="733" t="inlineStr">
        <is>
          <t>Compra</t>
        </is>
      </c>
      <c r="B14" s="729" t="inlineStr">
        <is>
          <t xml:space="preserve">      Cotización definitiva y aprobación interna Zimpertec GmbH · 75 kits SHS AC</t>
        </is>
      </c>
      <c r="C14" s="730" t="inlineStr">
        <is>
          <t>2s</t>
        </is>
      </c>
      <c r="D14" s="733" t="inlineStr">
        <is>
          <t>Log. / Finanzas</t>
        </is>
      </c>
      <c r="E14" s="730" t="n"/>
      <c r="F14" s="681" t="n"/>
      <c r="G14" s="681" t="n"/>
      <c r="H14" s="681" t="n"/>
      <c r="I14" s="681" t="n"/>
      <c r="J14" s="681" t="n"/>
      <c r="K14" s="681" t="n"/>
      <c r="L14" s="681" t="n"/>
      <c r="M14" s="681" t="n"/>
      <c r="N14" s="681" t="n"/>
      <c r="O14" s="681" t="n"/>
      <c r="P14" s="681" t="n"/>
    </row>
    <row r="15" ht="14" customHeight="1" s="549">
      <c r="A15" s="756" t="inlineStr">
        <is>
          <t>Compra</t>
        </is>
      </c>
      <c r="B15" s="749" t="inlineStr">
        <is>
          <t xml:space="preserve">      Orden de compra a proveedor · factura proforma y pago anticipado</t>
        </is>
      </c>
      <c r="C15" s="757" t="inlineStr">
        <is>
          <t>2s</t>
        </is>
      </c>
      <c r="D15" s="756" t="inlineStr">
        <is>
          <t>Log. / Finanzas</t>
        </is>
      </c>
      <c r="E15" s="757" t="n"/>
      <c r="F15" s="686" t="n"/>
      <c r="G15" s="686" t="n"/>
      <c r="H15" s="686" t="n"/>
      <c r="I15" s="686" t="n"/>
      <c r="J15" s="686" t="n"/>
      <c r="K15" s="686" t="n"/>
      <c r="L15" s="686" t="n"/>
      <c r="M15" s="686" t="n"/>
      <c r="N15" s="686" t="n"/>
      <c r="O15" s="686" t="n"/>
      <c r="P15" s="686" t="n"/>
    </row>
    <row r="16" ht="14" customHeight="1" s="549">
      <c r="A16" s="733" t="inlineStr">
        <is>
          <t>Compra</t>
        </is>
      </c>
      <c r="B16" s="729" t="inlineStr">
        <is>
          <t xml:space="preserve">      Publicación en Mercado Público (si aplica por GORE) · documentación OC</t>
        </is>
      </c>
      <c r="C16" s="730" t="inlineStr">
        <is>
          <t>2s</t>
        </is>
      </c>
      <c r="D16" s="733" t="inlineStr">
        <is>
          <t>Log. / Finanzas</t>
        </is>
      </c>
      <c r="E16" s="730" t="n"/>
      <c r="F16" s="730" t="n"/>
      <c r="G16" s="681" t="n"/>
      <c r="H16" s="681" t="n"/>
      <c r="I16" s="681" t="n"/>
      <c r="J16" s="681" t="n"/>
      <c r="K16" s="681" t="n"/>
      <c r="L16" s="681" t="n"/>
      <c r="M16" s="681" t="n"/>
      <c r="N16" s="681" t="n"/>
      <c r="O16" s="681" t="n"/>
      <c r="P16" s="681" t="n"/>
    </row>
    <row r="17" ht="14" customHeight="1" s="549">
      <c r="A17" s="756" t="inlineStr">
        <is>
          <t>Compra</t>
        </is>
      </c>
      <c r="B17" s="749" t="inlineStr">
        <is>
          <t xml:space="preserve">      Confirmación de pedido · inicio de fabricación en fábrica Alemania</t>
        </is>
      </c>
      <c r="C17" s="757" t="inlineStr">
        <is>
          <t>2s</t>
        </is>
      </c>
      <c r="D17" s="756" t="inlineStr">
        <is>
          <t>Logística</t>
        </is>
      </c>
      <c r="E17" s="686" t="n"/>
      <c r="F17" s="757" t="n"/>
      <c r="G17" s="686" t="n"/>
      <c r="H17" s="686" t="n"/>
      <c r="I17" s="686" t="n"/>
      <c r="J17" s="686" t="n"/>
      <c r="K17" s="686" t="n"/>
      <c r="L17" s="686" t="n"/>
      <c r="M17" s="686" t="n"/>
      <c r="N17" s="686" t="n"/>
      <c r="O17" s="686" t="n"/>
      <c r="P17" s="686" t="n"/>
    </row>
    <row r="18" ht="14" customHeight="1" s="549">
      <c r="A18" s="733" t="inlineStr">
        <is>
          <t>Compra</t>
        </is>
      </c>
      <c r="B18" s="729" t="inlineStr">
        <is>
          <t xml:space="preserve">  ◆  Equipos ordenados y pagados · fabricación iniciada</t>
        </is>
      </c>
      <c r="C18" s="730" t="inlineStr">
        <is>
          <t>⬥</t>
        </is>
      </c>
      <c r="D18" s="733" t="inlineStr">
        <is>
          <t>—</t>
        </is>
      </c>
      <c r="E18" s="681" t="n"/>
      <c r="F18" s="730" t="inlineStr">
        <is>
          <t>◆</t>
        </is>
      </c>
      <c r="G18" s="681" t="n"/>
      <c r="H18" s="681" t="n"/>
      <c r="I18" s="681" t="n"/>
      <c r="J18" s="681" t="n"/>
      <c r="K18" s="681" t="n"/>
      <c r="L18" s="681" t="n"/>
      <c r="M18" s="681" t="n"/>
      <c r="N18" s="681" t="n"/>
      <c r="O18" s="681" t="n"/>
      <c r="P18" s="681" t="n"/>
    </row>
    <row r="19" ht="6" customHeight="1" s="549">
      <c r="A19" s="117" t="n"/>
      <c r="B19" s="117" t="n"/>
      <c r="C19" s="117" t="n"/>
      <c r="D19" s="117" t="n"/>
      <c r="E19" s="117" t="n"/>
      <c r="F19" s="117" t="n"/>
      <c r="G19" s="117" t="n"/>
      <c r="H19" s="117" t="n"/>
    </row>
    <row r="20" ht="14" customHeight="1" s="549">
      <c r="A20" s="756" t="inlineStr">
        <is>
          <t>Importa-
ción</t>
        </is>
      </c>
      <c r="B20" s="749" t="inlineStr">
        <is>
          <t xml:space="preserve">  FASE 3 — IMPORTACIÓN Y GESTIÓN ADUANERA</t>
        </is>
      </c>
      <c r="C20" s="757" t="n"/>
      <c r="D20" s="756" t="n"/>
      <c r="E20" s="686" t="n"/>
      <c r="F20" s="757" t="n"/>
      <c r="G20" s="757" t="n"/>
      <c r="H20" s="757" t="n"/>
      <c r="I20" s="686" t="n"/>
      <c r="J20" s="686" t="n"/>
      <c r="K20" s="686" t="n"/>
      <c r="L20" s="686" t="n"/>
      <c r="M20" s="686" t="n"/>
      <c r="N20" s="686" t="n"/>
      <c r="O20" s="686" t="n"/>
      <c r="P20" s="686" t="n"/>
    </row>
    <row r="21" ht="14" customHeight="1" s="549">
      <c r="A21" s="733" t="inlineStr">
        <is>
          <t>Importación</t>
        </is>
      </c>
      <c r="B21" s="729" t="inlineStr">
        <is>
          <t xml:space="preserve">      Fabricación equipos en fábrica Zimpertec, Alemania (lead time ~3-4 meses)</t>
        </is>
      </c>
      <c r="C21" s="730" t="inlineStr">
        <is>
          <t>4m</t>
        </is>
      </c>
      <c r="D21" s="733" t="inlineStr">
        <is>
          <t>Zimpertec / Log.</t>
        </is>
      </c>
      <c r="E21" s="681" t="n"/>
      <c r="F21" s="730" t="n"/>
      <c r="G21" s="730" t="n"/>
      <c r="H21" s="730" t="n"/>
      <c r="I21" s="681" t="n"/>
      <c r="J21" s="681" t="n"/>
      <c r="K21" s="681" t="n"/>
      <c r="L21" s="681" t="n"/>
      <c r="M21" s="681" t="n"/>
      <c r="N21" s="681" t="n"/>
      <c r="O21" s="681" t="n"/>
      <c r="P21" s="681" t="n"/>
    </row>
    <row r="22" ht="14" customHeight="1" s="549">
      <c r="A22" s="756" t="inlineStr">
        <is>
          <t>Importación</t>
        </is>
      </c>
      <c r="B22" s="749" t="inlineStr">
        <is>
          <t xml:space="preserve">      Coordinación logística de transporte marítimo (agente de carga, naviera)</t>
        </is>
      </c>
      <c r="C22" s="757" t="inlineStr">
        <is>
          <t>1m</t>
        </is>
      </c>
      <c r="D22" s="756" t="inlineStr">
        <is>
          <t>Logística</t>
        </is>
      </c>
      <c r="E22" s="686" t="n"/>
      <c r="F22" s="757" t="n"/>
      <c r="G22" s="757" t="n"/>
      <c r="H22" s="686" t="n"/>
      <c r="I22" s="686" t="n"/>
      <c r="J22" s="686" t="n"/>
      <c r="K22" s="686" t="n"/>
      <c r="L22" s="686" t="n"/>
      <c r="M22" s="686" t="n"/>
      <c r="N22" s="686" t="n"/>
      <c r="O22" s="686" t="n"/>
      <c r="P22" s="686" t="n"/>
    </row>
    <row r="23" ht="14" customHeight="1" s="549">
      <c r="A23" s="733" t="inlineStr">
        <is>
          <t>Importación</t>
        </is>
      </c>
      <c r="B23" s="729" t="inlineStr">
        <is>
          <t xml:space="preserve">      Embarque y tránsito marítimo hacia puerto Chile (~4-6 semanas)</t>
        </is>
      </c>
      <c r="C23" s="730" t="inlineStr">
        <is>
          <t>6s</t>
        </is>
      </c>
      <c r="D23" s="733" t="inlineStr">
        <is>
          <t>Agente carga</t>
        </is>
      </c>
      <c r="E23" s="681" t="n"/>
      <c r="F23" s="681" t="n"/>
      <c r="G23" s="730" t="n"/>
      <c r="H23" s="730" t="n"/>
      <c r="I23" s="681" t="n"/>
      <c r="J23" s="681" t="n"/>
      <c r="K23" s="681" t="n"/>
      <c r="L23" s="681" t="n"/>
      <c r="M23" s="681" t="n"/>
      <c r="N23" s="681" t="n"/>
      <c r="O23" s="681" t="n"/>
      <c r="P23" s="681" t="n"/>
    </row>
    <row r="24" ht="14" customHeight="1" s="549">
      <c r="A24" s="756" t="inlineStr">
        <is>
          <t>Importación</t>
        </is>
      </c>
      <c r="B24" s="749" t="inlineStr">
        <is>
          <t xml:space="preserve">      Gestión aduanera: DUS, liquidación arancelaria, liberación carga</t>
        </is>
      </c>
      <c r="C24" s="757" t="inlineStr">
        <is>
          <t>2s</t>
        </is>
      </c>
      <c r="D24" s="756" t="inlineStr">
        <is>
          <t>Agente aduana</t>
        </is>
      </c>
      <c r="E24" s="686" t="n"/>
      <c r="F24" s="686" t="n"/>
      <c r="G24" s="686" t="n"/>
      <c r="H24" s="757" t="n"/>
      <c r="I24" s="686" t="n"/>
      <c r="J24" s="686" t="n"/>
      <c r="K24" s="686" t="n"/>
      <c r="L24" s="686" t="n"/>
      <c r="M24" s="686" t="n"/>
      <c r="N24" s="686" t="n"/>
      <c r="O24" s="686" t="n"/>
      <c r="P24" s="686" t="n"/>
    </row>
    <row r="25" ht="14" customHeight="1" s="549">
      <c r="A25" s="733" t="inlineStr">
        <is>
          <t>Importación</t>
        </is>
      </c>
      <c r="B25" s="729" t="inlineStr">
        <is>
          <t xml:space="preserve">      Transporte terrestre desde puerto → bodega proyecto Coquimbo (desconsolidado)</t>
        </is>
      </c>
      <c r="C25" s="730" t="inlineStr">
        <is>
          <t>1s</t>
        </is>
      </c>
      <c r="D25" s="733" t="inlineStr">
        <is>
          <t>Logística</t>
        </is>
      </c>
      <c r="E25" s="681" t="n"/>
      <c r="F25" s="681" t="n"/>
      <c r="G25" s="681" t="n"/>
      <c r="H25" s="730" t="n"/>
      <c r="I25" s="681" t="n"/>
      <c r="J25" s="681" t="n"/>
      <c r="K25" s="681" t="n"/>
      <c r="L25" s="681" t="n"/>
      <c r="M25" s="681" t="n"/>
      <c r="N25" s="681" t="n"/>
      <c r="O25" s="681" t="n"/>
      <c r="P25" s="681" t="n"/>
    </row>
    <row r="26" ht="14" customHeight="1" s="549">
      <c r="A26" s="756" t="inlineStr">
        <is>
          <t>Importación</t>
        </is>
      </c>
      <c r="B26" s="749" t="inlineStr">
        <is>
          <t xml:space="preserve">  ◆  Equipos en bodega Chile · recepción + control de calidad</t>
        </is>
      </c>
      <c r="C26" s="757" t="inlineStr">
        <is>
          <t>⬥</t>
        </is>
      </c>
      <c r="D26" s="756" t="inlineStr">
        <is>
          <t>—</t>
        </is>
      </c>
      <c r="E26" s="686" t="n"/>
      <c r="F26" s="686" t="n"/>
      <c r="G26" s="686" t="n"/>
      <c r="H26" s="757" t="inlineStr">
        <is>
          <t>◆</t>
        </is>
      </c>
      <c r="I26" s="686" t="n"/>
      <c r="J26" s="686" t="n"/>
      <c r="K26" s="686" t="n"/>
      <c r="L26" s="686" t="n"/>
      <c r="M26" s="686" t="n"/>
      <c r="N26" s="686" t="n"/>
      <c r="O26" s="686" t="n"/>
      <c r="P26" s="686" t="n"/>
    </row>
    <row r="27" ht="6" customHeight="1" s="549">
      <c r="A27" s="117" t="n"/>
      <c r="B27" s="117" t="n"/>
      <c r="C27" s="117" t="n"/>
      <c r="D27" s="117" t="n"/>
      <c r="E27" s="117" t="n"/>
      <c r="F27" s="117" t="n"/>
      <c r="G27" s="117" t="n"/>
      <c r="H27" s="117" t="n"/>
    </row>
    <row r="28" ht="14" customHeight="1" s="549">
      <c r="A28" s="733" t="inlineStr">
        <is>
          <t>Contra-
tación</t>
        </is>
      </c>
      <c r="B28" s="729" t="inlineStr">
        <is>
          <t xml:space="preserve">  FASE 4 — CONTRATACIONES DE PERSONAL</t>
        </is>
      </c>
      <c r="C28" s="730" t="n"/>
      <c r="D28" s="733" t="n"/>
      <c r="E28" s="681" t="n"/>
      <c r="F28" s="730" t="n"/>
      <c r="G28" s="730" t="n"/>
      <c r="H28" s="681" t="n"/>
      <c r="I28" s="681" t="n"/>
      <c r="J28" s="681" t="n"/>
      <c r="K28" s="681" t="n"/>
      <c r="L28" s="681" t="n"/>
      <c r="M28" s="681" t="n"/>
      <c r="N28" s="681" t="n"/>
      <c r="O28" s="681" t="n"/>
      <c r="P28" s="681" t="n"/>
    </row>
    <row r="29" ht="14" customHeight="1" s="549">
      <c r="A29" s="756" t="inlineStr">
        <is>
          <t>Contratación</t>
        </is>
      </c>
      <c r="B29" s="749" t="inlineStr">
        <is>
          <t xml:space="preserve">      Reclutamiento y selección Encargado de Logística y Bodega</t>
        </is>
      </c>
      <c r="C29" s="757" t="inlineStr">
        <is>
          <t>3s</t>
        </is>
      </c>
      <c r="D29" s="756" t="inlineStr">
        <is>
          <t>RRHH / Agustín D.</t>
        </is>
      </c>
      <c r="E29" s="686" t="n"/>
      <c r="F29" s="757" t="n"/>
      <c r="G29" s="686" t="n"/>
      <c r="H29" s="686" t="n"/>
      <c r="I29" s="686" t="n"/>
      <c r="J29" s="686" t="n"/>
      <c r="K29" s="686" t="n"/>
      <c r="L29" s="686" t="n"/>
      <c r="M29" s="686" t="n"/>
      <c r="N29" s="686" t="n"/>
      <c r="O29" s="686" t="n"/>
      <c r="P29" s="686" t="n"/>
    </row>
    <row r="30" ht="14" customHeight="1" s="549">
      <c r="A30" s="733" t="inlineStr">
        <is>
          <t>Contratación</t>
        </is>
      </c>
      <c r="B30" s="729" t="inlineStr">
        <is>
          <t xml:space="preserve">      Contratación técnicos instaladores (Plan B: contrato mensual) — cuadrillas</t>
        </is>
      </c>
      <c r="C30" s="730" t="inlineStr">
        <is>
          <t>3s</t>
        </is>
      </c>
      <c r="D30" s="733" t="inlineStr">
        <is>
          <t>RRHH / Agustín D.</t>
        </is>
      </c>
      <c r="E30" s="681" t="n"/>
      <c r="F30" s="730" t="n"/>
      <c r="G30" s="730" t="n"/>
      <c r="H30" s="681" t="n"/>
      <c r="I30" s="681" t="n"/>
      <c r="J30" s="681" t="n"/>
      <c r="K30" s="681" t="n"/>
      <c r="L30" s="681" t="n"/>
      <c r="M30" s="681" t="n"/>
      <c r="N30" s="681" t="n"/>
      <c r="O30" s="681" t="n"/>
      <c r="P30" s="681" t="n"/>
    </row>
    <row r="31" ht="14" customHeight="1" s="549">
      <c r="A31" s="756" t="inlineStr">
        <is>
          <t>Contratación</t>
        </is>
      </c>
      <c r="B31" s="749" t="inlineStr">
        <is>
          <t xml:space="preserve">      Contratación Encargado Territorial / RRCC</t>
        </is>
      </c>
      <c r="C31" s="757" t="inlineStr">
        <is>
          <t>3s</t>
        </is>
      </c>
      <c r="D31" s="756" t="inlineStr">
        <is>
          <t>RRHH / Agustín D.</t>
        </is>
      </c>
      <c r="E31" s="686" t="n"/>
      <c r="F31" s="757" t="n"/>
      <c r="G31" s="757" t="n"/>
      <c r="H31" s="686" t="n"/>
      <c r="I31" s="686" t="n"/>
      <c r="J31" s="686" t="n"/>
      <c r="K31" s="686" t="n"/>
      <c r="L31" s="686" t="n"/>
      <c r="M31" s="686" t="n"/>
      <c r="N31" s="686" t="n"/>
      <c r="O31" s="686" t="n"/>
      <c r="P31" s="686" t="n"/>
    </row>
    <row r="32" ht="14" customHeight="1" s="549">
      <c r="A32" s="733" t="inlineStr">
        <is>
          <t>Contratación</t>
        </is>
      </c>
      <c r="B32" s="729" t="inlineStr">
        <is>
          <t xml:space="preserve">      Contratación Apoyo Financiero de proyecto</t>
        </is>
      </c>
      <c r="C32" s="730" t="inlineStr">
        <is>
          <t>2s</t>
        </is>
      </c>
      <c r="D32" s="733" t="inlineStr">
        <is>
          <t>RRHH / Agustín D.</t>
        </is>
      </c>
      <c r="E32" s="681" t="n"/>
      <c r="F32" s="730" t="n"/>
      <c r="G32" s="681" t="n"/>
      <c r="H32" s="681" t="n"/>
      <c r="I32" s="681" t="n"/>
      <c r="J32" s="681" t="n"/>
      <c r="K32" s="681" t="n"/>
      <c r="L32" s="681" t="n"/>
      <c r="M32" s="681" t="n"/>
      <c r="N32" s="681" t="n"/>
      <c r="O32" s="681" t="n"/>
      <c r="P32" s="681" t="n"/>
    </row>
    <row r="33" ht="14" customHeight="1" s="549">
      <c r="A33" s="756" t="inlineStr">
        <is>
          <t>Contratación</t>
        </is>
      </c>
      <c r="B33" s="749" t="inlineStr">
        <is>
          <t xml:space="preserve">      Contratación personal Apoyo Planos TE-1 (inicio en instalaciones)</t>
        </is>
      </c>
      <c r="C33" s="757" t="inlineStr">
        <is>
          <t>1s</t>
        </is>
      </c>
      <c r="D33" s="756" t="inlineStr">
        <is>
          <t>RRHH</t>
        </is>
      </c>
      <c r="E33" s="686" t="n"/>
      <c r="F33" s="686" t="n"/>
      <c r="G33" s="686" t="n"/>
      <c r="H33" s="686" t="n"/>
      <c r="I33" s="686" t="n"/>
      <c r="J33" s="686" t="n"/>
      <c r="K33" s="686" t="n"/>
      <c r="L33" s="686" t="n"/>
      <c r="M33" s="686" t="n"/>
      <c r="N33" s="686" t="n"/>
      <c r="O33" s="686" t="n"/>
      <c r="P33" s="686" t="n"/>
    </row>
    <row r="34" ht="6" customHeight="1" s="549">
      <c r="A34" s="117" t="n"/>
      <c r="B34" s="117" t="n"/>
      <c r="C34" s="117" t="n"/>
      <c r="D34" s="117" t="n"/>
    </row>
    <row r="35" ht="14" customHeight="1" s="549">
      <c r="A35" s="733" t="inlineStr">
        <is>
          <t>Mate-
riales</t>
        </is>
      </c>
      <c r="B35" s="729" t="inlineStr">
        <is>
          <t xml:space="preserve">  FASE 5 — MATERIALES E INSUMOS DE INSTALACIÓN</t>
        </is>
      </c>
      <c r="C35" s="730" t="n"/>
      <c r="D35" s="733" t="n"/>
      <c r="E35" s="681" t="n"/>
      <c r="F35" s="681" t="n"/>
      <c r="G35" s="681" t="n"/>
      <c r="H35" s="681" t="n"/>
      <c r="I35" s="681" t="n"/>
      <c r="J35" s="681" t="n"/>
      <c r="K35" s="681" t="n"/>
      <c r="L35" s="681" t="n"/>
      <c r="M35" s="681" t="n"/>
      <c r="N35" s="681" t="n"/>
      <c r="O35" s="681" t="n"/>
      <c r="P35" s="681" t="n"/>
    </row>
    <row r="36" ht="14" customHeight="1" s="549">
      <c r="A36" s="756" t="inlineStr">
        <is>
          <t>Materiales</t>
        </is>
      </c>
      <c r="B36" s="749" t="inlineStr">
        <is>
          <t xml:space="preserve">      Cotización y compra herramientas para cuadrillas (3 sets completos)</t>
        </is>
      </c>
      <c r="C36" s="757" t="inlineStr">
        <is>
          <t>2s</t>
        </is>
      </c>
      <c r="D36" s="756" t="inlineStr">
        <is>
          <t>Enc. Bodega</t>
        </is>
      </c>
      <c r="E36" s="686" t="n"/>
      <c r="F36" s="686" t="n"/>
      <c r="G36" s="686" t="n"/>
      <c r="H36" s="686" t="n"/>
      <c r="I36" s="686" t="n"/>
      <c r="J36" s="686" t="n"/>
      <c r="K36" s="686" t="n"/>
      <c r="L36" s="686" t="n"/>
      <c r="M36" s="686" t="n"/>
      <c r="N36" s="686" t="n"/>
      <c r="O36" s="686" t="n"/>
      <c r="P36" s="686" t="n"/>
    </row>
    <row r="37" ht="14" customHeight="1" s="549">
      <c r="A37" s="733" t="inlineStr">
        <is>
          <t>Materiales</t>
        </is>
      </c>
      <c r="B37" s="729" t="inlineStr">
        <is>
          <t xml:space="preserve">      Compra estructuras metálicas soporte panel (75 unidades)</t>
        </is>
      </c>
      <c r="C37" s="730" t="inlineStr">
        <is>
          <t>3s</t>
        </is>
      </c>
      <c r="D37" s="733" t="inlineStr">
        <is>
          <t>Enc. Bodega</t>
        </is>
      </c>
      <c r="E37" s="681" t="n"/>
      <c r="F37" s="681" t="n"/>
      <c r="G37" s="681" t="n"/>
      <c r="H37" s="681" t="n"/>
      <c r="I37" s="681" t="n"/>
      <c r="J37" s="681" t="n"/>
      <c r="K37" s="681" t="n"/>
      <c r="L37" s="681" t="n"/>
      <c r="M37" s="681" t="n"/>
      <c r="N37" s="681" t="n"/>
      <c r="O37" s="681" t="n"/>
      <c r="P37" s="681" t="n"/>
    </row>
    <row r="38" ht="14" customHeight="1" s="549">
      <c r="A38" s="756" t="inlineStr">
        <is>
          <t>Materiales</t>
        </is>
      </c>
      <c r="B38" s="749" t="inlineStr">
        <is>
          <t xml:space="preserve">      Compra materiales instalación: cableado DC/AC, porta soquetes, ferretería eléctrica</t>
        </is>
      </c>
      <c r="C38" s="757" t="inlineStr">
        <is>
          <t>3s</t>
        </is>
      </c>
      <c r="D38" s="756" t="inlineStr">
        <is>
          <t>Enc. Bodega</t>
        </is>
      </c>
      <c r="E38" s="686" t="n"/>
      <c r="F38" s="686" t="n"/>
      <c r="G38" s="686" t="n"/>
      <c r="H38" s="686" t="n"/>
      <c r="I38" s="686" t="n"/>
      <c r="J38" s="686" t="n"/>
      <c r="K38" s="686" t="n"/>
      <c r="L38" s="686" t="n"/>
      <c r="M38" s="686" t="n"/>
      <c r="N38" s="686" t="n"/>
      <c r="O38" s="686" t="n"/>
      <c r="P38" s="686" t="n"/>
    </row>
    <row r="39" ht="14" customHeight="1" s="549">
      <c r="A39" s="733" t="inlineStr">
        <is>
          <t>Materiales</t>
        </is>
      </c>
      <c r="B39" s="729" t="inlineStr">
        <is>
          <t xml:space="preserve">      Compra insumos complementarios: impresión manuales usuarios (75 sets)</t>
        </is>
      </c>
      <c r="C39" s="730" t="inlineStr">
        <is>
          <t>1s</t>
        </is>
      </c>
      <c r="D39" s="733" t="inlineStr">
        <is>
          <t>Enc. Bodega</t>
        </is>
      </c>
      <c r="E39" s="681" t="n"/>
      <c r="F39" s="681" t="n"/>
      <c r="G39" s="681" t="n"/>
      <c r="H39" s="681" t="n"/>
      <c r="I39" s="681" t="n"/>
      <c r="J39" s="681" t="n"/>
      <c r="K39" s="681" t="n"/>
      <c r="L39" s="681" t="n"/>
      <c r="M39" s="681" t="n"/>
      <c r="N39" s="681" t="n"/>
      <c r="O39" s="681" t="n"/>
      <c r="P39" s="681" t="n"/>
    </row>
    <row r="40" ht="14" customHeight="1" s="549">
      <c r="A40" s="756" t="inlineStr">
        <is>
          <t>Materiales</t>
        </is>
      </c>
      <c r="B40" s="749" t="inlineStr">
        <is>
          <t xml:space="preserve">      Recepción y stock en bodega · inventario de insumos</t>
        </is>
      </c>
      <c r="C40" s="757" t="inlineStr">
        <is>
          <t>1s</t>
        </is>
      </c>
      <c r="D40" s="756" t="inlineStr">
        <is>
          <t>Enc. Bodega</t>
        </is>
      </c>
      <c r="E40" s="686" t="n"/>
      <c r="F40" s="686" t="n"/>
      <c r="G40" s="686" t="n"/>
      <c r="H40" s="686" t="n"/>
      <c r="I40" s="686" t="n"/>
      <c r="J40" s="686" t="n"/>
      <c r="K40" s="686" t="n"/>
      <c r="L40" s="686" t="n"/>
      <c r="M40" s="686" t="n"/>
      <c r="N40" s="686" t="n"/>
      <c r="O40" s="686" t="n"/>
      <c r="P40" s="686" t="n"/>
    </row>
    <row r="41" ht="6" customHeight="1" s="549">
      <c r="A41" s="117" t="n"/>
      <c r="B41" s="117" t="n"/>
      <c r="C41" s="117" t="n"/>
      <c r="D41" s="117" t="n"/>
    </row>
    <row r="42" ht="14" customHeight="1" s="549">
      <c r="A42" s="733" t="inlineStr">
        <is>
          <t>Logís-
tica</t>
        </is>
      </c>
      <c r="B42" s="729" t="inlineStr">
        <is>
          <t xml:space="preserve">  FASE 6 — LOGÍSTICA NACIONAL Y PREPARACIÓN TERRENO</t>
        </is>
      </c>
      <c r="C42" s="730" t="n"/>
      <c r="D42" s="733" t="n"/>
      <c r="E42" s="681" t="n"/>
      <c r="F42" s="681" t="n"/>
      <c r="G42" s="681" t="n"/>
      <c r="H42" s="681" t="n"/>
      <c r="I42" s="681" t="n"/>
      <c r="J42" s="681" t="n"/>
      <c r="K42" s="681" t="n"/>
      <c r="L42" s="681" t="n"/>
      <c r="M42" s="681" t="n"/>
      <c r="N42" s="681" t="n"/>
      <c r="O42" s="681" t="n"/>
      <c r="P42" s="681" t="n"/>
    </row>
    <row r="43" ht="14" customHeight="1" s="549">
      <c r="A43" s="756" t="inlineStr">
        <is>
          <t>Logística</t>
        </is>
      </c>
      <c r="B43" s="749" t="inlineStr">
        <is>
          <t xml:space="preserve">      Habilitación bodega terreno (arriendo, acondicionamiento, seguridad)</t>
        </is>
      </c>
      <c r="C43" s="757" t="inlineStr">
        <is>
          <t>2s</t>
        </is>
      </c>
      <c r="D43" s="756" t="inlineStr">
        <is>
          <t>Enc. Bodega</t>
        </is>
      </c>
      <c r="E43" s="686" t="n"/>
      <c r="F43" s="686" t="n"/>
      <c r="G43" s="686" t="n"/>
      <c r="H43" s="686" t="n"/>
      <c r="I43" s="686" t="n"/>
      <c r="J43" s="686" t="n"/>
      <c r="K43" s="686" t="n"/>
      <c r="L43" s="686" t="n"/>
      <c r="M43" s="686" t="n"/>
      <c r="N43" s="686" t="n"/>
      <c r="O43" s="686" t="n"/>
      <c r="P43" s="686" t="n"/>
    </row>
    <row r="44" ht="14" customHeight="1" s="549">
      <c r="A44" s="733" t="inlineStr">
        <is>
          <t>Logística</t>
        </is>
      </c>
      <c r="B44" s="729" t="inlineStr">
        <is>
          <t xml:space="preserve">      Recepción equipos en bodega · inventario por kit y número de serie</t>
        </is>
      </c>
      <c r="C44" s="730" t="inlineStr">
        <is>
          <t>1s</t>
        </is>
      </c>
      <c r="D44" s="733" t="inlineStr">
        <is>
          <t>Enc. Bodega</t>
        </is>
      </c>
      <c r="E44" s="681" t="n"/>
      <c r="F44" s="681" t="n"/>
      <c r="G44" s="681" t="n"/>
      <c r="H44" s="681" t="n"/>
      <c r="I44" s="681" t="n"/>
      <c r="J44" s="681" t="n"/>
      <c r="K44" s="681" t="n"/>
      <c r="L44" s="681" t="n"/>
      <c r="M44" s="681" t="n"/>
      <c r="N44" s="681" t="n"/>
      <c r="O44" s="681" t="n"/>
      <c r="P44" s="681" t="n"/>
    </row>
    <row r="45" ht="14" customHeight="1" s="549">
      <c r="A45" s="756" t="inlineStr">
        <is>
          <t>Logística</t>
        </is>
      </c>
      <c r="B45" s="749" t="inlineStr">
        <is>
          <t xml:space="preserve">      Carga usuarios en sistema Proteo · contratos de servicio</t>
        </is>
      </c>
      <c r="C45" s="757" t="inlineStr">
        <is>
          <t>2s</t>
        </is>
      </c>
      <c r="D45" s="756" t="inlineStr">
        <is>
          <t>RRCC / Apoyo Fin.</t>
        </is>
      </c>
      <c r="E45" s="686" t="n"/>
      <c r="F45" s="686" t="n"/>
      <c r="G45" s="686" t="n"/>
      <c r="H45" s="686" t="n"/>
      <c r="I45" s="686" t="n"/>
      <c r="J45" s="686" t="n"/>
      <c r="K45" s="686" t="n"/>
      <c r="L45" s="686" t="n"/>
      <c r="M45" s="686" t="n"/>
      <c r="N45" s="686" t="n"/>
      <c r="O45" s="686" t="n"/>
      <c r="P45" s="686" t="n"/>
    </row>
    <row r="46" ht="14" customHeight="1" s="549">
      <c r="A46" s="733" t="inlineStr">
        <is>
          <t>Logística</t>
        </is>
      </c>
      <c r="B46" s="729" t="inlineStr">
        <is>
          <t xml:space="preserve">      Asignación rutas cuadrillas por comunidad · calendarización visitas</t>
        </is>
      </c>
      <c r="C46" s="730" t="inlineStr">
        <is>
          <t>1s</t>
        </is>
      </c>
      <c r="D46" s="733" t="inlineStr">
        <is>
          <t>Enc. Bodega / RRCC</t>
        </is>
      </c>
      <c r="E46" s="681" t="n"/>
      <c r="F46" s="681" t="n"/>
      <c r="G46" s="681" t="n"/>
      <c r="H46" s="681" t="n"/>
      <c r="I46" s="681" t="n"/>
      <c r="J46" s="681" t="n"/>
      <c r="K46" s="681" t="n"/>
      <c r="L46" s="681" t="n"/>
      <c r="M46" s="681" t="n"/>
      <c r="N46" s="681" t="n"/>
      <c r="O46" s="681" t="n"/>
      <c r="P46" s="681" t="n"/>
    </row>
    <row r="47" ht="14" customHeight="1" s="549">
      <c r="A47" s="756" t="inlineStr">
        <is>
          <t>Logística</t>
        </is>
      </c>
      <c r="B47" s="749" t="inlineStr">
        <is>
          <t xml:space="preserve">      Coordinación municipios y organizaciones comunitarias · jornadas informativas</t>
        </is>
      </c>
      <c r="C47" s="757" t="inlineStr">
        <is>
          <t>2s</t>
        </is>
      </c>
      <c r="D47" s="756" t="inlineStr">
        <is>
          <t>RRCC</t>
        </is>
      </c>
      <c r="E47" s="686" t="n"/>
      <c r="F47" s="686" t="n"/>
      <c r="G47" s="686" t="n"/>
      <c r="H47" s="686" t="n"/>
      <c r="I47" s="686" t="n"/>
      <c r="J47" s="686" t="n"/>
      <c r="K47" s="686" t="n"/>
      <c r="L47" s="686" t="n"/>
      <c r="M47" s="686" t="n"/>
      <c r="N47" s="686" t="n"/>
      <c r="O47" s="686" t="n"/>
      <c r="P47" s="686" t="n"/>
    </row>
    <row r="48"/>
    <row r="49" ht="14" customHeight="1" s="549">
      <c r="A49" s="733" t="inlineStr">
        <is>
          <t>Instala-
ción</t>
        </is>
      </c>
      <c r="B49" s="729" t="inlineStr">
        <is>
          <t xml:space="preserve">  FASE 7 — INSTALACIÓN EN TERRENO (75 viviendas)</t>
        </is>
      </c>
      <c r="C49" s="730" t="n"/>
      <c r="D49" s="733" t="n"/>
      <c r="E49" s="681" t="n"/>
      <c r="F49" s="681" t="n"/>
      <c r="G49" s="681" t="n"/>
      <c r="H49" s="730" t="n"/>
      <c r="I49" s="730" t="n"/>
      <c r="J49" s="730" t="n"/>
      <c r="K49" s="730" t="n"/>
      <c r="L49" s="730" t="n"/>
      <c r="M49" s="681" t="n"/>
      <c r="N49" s="681" t="n"/>
      <c r="O49" s="681" t="n"/>
      <c r="P49" s="681" t="n"/>
    </row>
    <row r="50" ht="14" customHeight="1" s="549">
      <c r="A50" s="756" t="inlineStr">
        <is>
          <t>Instalación</t>
        </is>
      </c>
      <c r="B50" s="749" t="inlineStr">
        <is>
          <t xml:space="preserve">      Encuestas socioeconómicas finales · fichas de interés · priorización beneficiarios</t>
        </is>
      </c>
      <c r="C50" s="757" t="inlineStr">
        <is>
          <t>4s</t>
        </is>
      </c>
      <c r="D50" s="756" t="inlineStr">
        <is>
          <t>RRCC / Cuadrillas</t>
        </is>
      </c>
      <c r="E50" s="686" t="n"/>
      <c r="F50" s="686" t="n"/>
      <c r="G50" s="686" t="n"/>
      <c r="H50" s="757" t="n"/>
      <c r="I50" s="757" t="n"/>
      <c r="J50" s="686" t="n"/>
      <c r="K50" s="686" t="n"/>
      <c r="L50" s="686" t="n"/>
      <c r="M50" s="686" t="n"/>
      <c r="N50" s="686" t="n"/>
      <c r="O50" s="686" t="n"/>
      <c r="P50" s="686" t="n"/>
    </row>
    <row r="51" ht="14" customHeight="1" s="549">
      <c r="A51" s="733" t="inlineStr">
        <is>
          <t>Instalación</t>
        </is>
      </c>
      <c r="B51" s="729" t="inlineStr">
        <is>
          <t xml:space="preserve">      Conformación Centros Luz en Casa (CEF) por comunidad</t>
        </is>
      </c>
      <c r="C51" s="730" t="inlineStr">
        <is>
          <t>2s</t>
        </is>
      </c>
      <c r="D51" s="733" t="inlineStr">
        <is>
          <t>RRCC</t>
        </is>
      </c>
      <c r="E51" s="681" t="n"/>
      <c r="F51" s="681" t="n"/>
      <c r="G51" s="681" t="n"/>
      <c r="H51" s="730" t="n"/>
      <c r="I51" s="730" t="n"/>
      <c r="J51" s="681" t="n"/>
      <c r="K51" s="681" t="n"/>
      <c r="L51" s="681" t="n"/>
      <c r="M51" s="681" t="n"/>
      <c r="N51" s="681" t="n"/>
      <c r="O51" s="681" t="n"/>
      <c r="P51" s="681" t="n"/>
    </row>
    <row r="52" ht="14" customHeight="1" s="549">
      <c r="A52" s="756" t="inlineStr">
        <is>
          <t>Instalación</t>
        </is>
      </c>
      <c r="B52" s="749" t="inlineStr">
        <is>
          <t xml:space="preserve">      Instalación Lote 1 </t>
        </is>
      </c>
      <c r="C52" s="757" t="inlineStr">
        <is>
          <t>1m</t>
        </is>
      </c>
      <c r="D52" s="756" t="inlineStr">
        <is>
          <t>Cuadrillas / ITO</t>
        </is>
      </c>
      <c r="E52" s="686" t="n"/>
      <c r="F52" s="686" t="n"/>
      <c r="G52" s="686" t="n"/>
      <c r="H52" s="686" t="n"/>
      <c r="I52" s="757" t="n"/>
      <c r="J52" s="686" t="n"/>
      <c r="K52" s="686" t="n"/>
      <c r="L52" s="686" t="n"/>
      <c r="M52" s="686" t="n"/>
      <c r="N52" s="686" t="n"/>
      <c r="O52" s="686" t="n"/>
      <c r="P52" s="686" t="n"/>
    </row>
    <row r="53" ht="14" customHeight="1" s="549">
      <c r="A53" s="733" t="inlineStr">
        <is>
          <t>Instalación</t>
        </is>
      </c>
      <c r="B53" s="729" t="inlineStr">
        <is>
          <t xml:space="preserve">      Instalación Lote 2</t>
        </is>
      </c>
      <c r="C53" s="730" t="inlineStr">
        <is>
          <t>2m</t>
        </is>
      </c>
      <c r="D53" s="733" t="inlineStr">
        <is>
          <t>Cuadrillas / ITO</t>
        </is>
      </c>
      <c r="E53" s="681" t="n"/>
      <c r="F53" s="681" t="n"/>
      <c r="G53" s="681" t="n"/>
      <c r="H53" s="681" t="n"/>
      <c r="I53" s="681" t="n"/>
      <c r="J53" s="730" t="n"/>
      <c r="K53" s="730" t="n"/>
      <c r="L53" s="681" t="n"/>
      <c r="M53" s="681" t="n"/>
      <c r="N53" s="681" t="n"/>
      <c r="O53" s="681" t="n"/>
      <c r="P53" s="681" t="n"/>
    </row>
    <row r="54" ht="14" customHeight="1" s="549">
      <c r="A54" s="756" t="inlineStr">
        <is>
          <t>Instalación</t>
        </is>
      </c>
      <c r="B54" s="749" t="inlineStr">
        <is>
          <t xml:space="preserve">      Instalación Lote 3 </t>
        </is>
      </c>
      <c r="C54" s="757" t="inlineStr">
        <is>
          <t>1m</t>
        </is>
      </c>
      <c r="D54" s="756" t="inlineStr">
        <is>
          <t>Cuadrillas / ITO</t>
        </is>
      </c>
      <c r="E54" s="686" t="n"/>
      <c r="F54" s="686" t="n"/>
      <c r="G54" s="686" t="n"/>
      <c r="H54" s="686" t="n"/>
      <c r="I54" s="686" t="n"/>
      <c r="J54" s="686" t="n"/>
      <c r="K54" s="686" t="n"/>
      <c r="L54" s="757" t="n"/>
      <c r="M54" s="686" t="n"/>
      <c r="N54" s="686" t="n"/>
      <c r="O54" s="686" t="n"/>
      <c r="P54" s="686" t="n"/>
    </row>
    <row r="55" ht="14" customHeight="1" s="549">
      <c r="A55" s="733" t="inlineStr">
        <is>
          <t>Instalación</t>
        </is>
      </c>
      <c r="B55" s="729" t="inlineStr">
        <is>
          <t xml:space="preserve">      Registro fotográfico + georreferenciación + acta recepción conforme (todas)</t>
        </is>
      </c>
      <c r="C55" s="730" t="inlineStr">
        <is>
          <t>5m</t>
        </is>
      </c>
      <c r="D55" s="733" t="inlineStr">
        <is>
          <t>Cuadrillas / ITO</t>
        </is>
      </c>
      <c r="E55" s="681" t="n"/>
      <c r="F55" s="681" t="n"/>
      <c r="G55" s="681" t="n"/>
      <c r="H55" s="730" t="n"/>
      <c r="I55" s="730" t="n"/>
      <c r="J55" s="730" t="n"/>
      <c r="K55" s="730" t="n"/>
      <c r="L55" s="730" t="n"/>
      <c r="M55" s="681" t="n"/>
      <c r="N55" s="681" t="n"/>
      <c r="O55" s="681" t="n"/>
      <c r="P55" s="681" t="n"/>
    </row>
    <row r="56" ht="14" customHeight="1" s="549">
      <c r="A56" s="756" t="inlineStr">
        <is>
          <t>Instalación</t>
        </is>
      </c>
      <c r="B56" s="749" t="inlineStr">
        <is>
          <t xml:space="preserve">      Declaraciones TE-1 SEC voluntarias por instalación (trámite simultáneo)</t>
        </is>
      </c>
      <c r="C56" s="757" t="inlineStr">
        <is>
          <t>4m</t>
        </is>
      </c>
      <c r="D56" s="756" t="inlineStr">
        <is>
          <t>Ap. Planos TE1</t>
        </is>
      </c>
      <c r="E56" s="686" t="n"/>
      <c r="F56" s="686" t="n"/>
      <c r="G56" s="686" t="n"/>
      <c r="H56" s="686" t="n"/>
      <c r="I56" s="757" t="n"/>
      <c r="J56" s="757" t="n"/>
      <c r="K56" s="757" t="n"/>
      <c r="L56" s="757" t="n"/>
      <c r="M56" s="686" t="n"/>
      <c r="N56" s="686" t="n"/>
      <c r="O56" s="686" t="n"/>
      <c r="P56" s="686" t="n"/>
    </row>
    <row r="57" ht="14" customHeight="1" s="549">
      <c r="A57" s="733" t="inlineStr">
        <is>
          <t>Instalación</t>
        </is>
      </c>
      <c r="B57" s="729" t="inlineStr">
        <is>
          <t xml:space="preserve">      Capacitación usuarios: uso, cuidado y reporte de fallas del sistema</t>
        </is>
      </c>
      <c r="C57" s="730" t="inlineStr">
        <is>
          <t>4m</t>
        </is>
      </c>
      <c r="D57" s="733" t="inlineStr">
        <is>
          <t>RRCC / Cuadrillas</t>
        </is>
      </c>
      <c r="E57" s="681" t="n"/>
      <c r="F57" s="681" t="n"/>
      <c r="G57" s="681" t="n"/>
      <c r="H57" s="681" t="n"/>
      <c r="I57" s="730" t="n"/>
      <c r="J57" s="730" t="n"/>
      <c r="K57" s="730" t="n"/>
      <c r="L57" s="730" t="n"/>
      <c r="M57" s="681" t="n"/>
      <c r="N57" s="681" t="n"/>
      <c r="O57" s="681" t="n"/>
      <c r="P57" s="681" t="n"/>
    </row>
    <row r="58" ht="14" customHeight="1" s="549">
      <c r="A58" s="756" t="inlineStr">
        <is>
          <t>Instalación</t>
        </is>
      </c>
      <c r="B58" s="749" t="inlineStr">
        <is>
          <t xml:space="preserve">  ◆  75/75 instalaciones completas · acta recepción total firmada</t>
        </is>
      </c>
      <c r="C58" s="757" t="inlineStr">
        <is>
          <t>⬥</t>
        </is>
      </c>
      <c r="D58" s="756" t="inlineStr">
        <is>
          <t>—</t>
        </is>
      </c>
      <c r="E58" s="686" t="n"/>
      <c r="F58" s="686" t="n"/>
      <c r="G58" s="686" t="n"/>
      <c r="H58" s="686" t="n"/>
      <c r="I58" s="686" t="n"/>
      <c r="J58" s="686" t="n"/>
      <c r="K58" s="686" t="n"/>
      <c r="L58" s="757" t="inlineStr">
        <is>
          <t>◆</t>
        </is>
      </c>
      <c r="M58" s="686" t="n"/>
      <c r="N58" s="686" t="n"/>
      <c r="O58" s="686" t="n"/>
      <c r="P58" s="686" t="n"/>
    </row>
    <row r="59" ht="6" customHeight="1" s="549">
      <c r="A59" s="117" t="n"/>
      <c r="B59" s="117" t="n"/>
      <c r="C59" s="117" t="n"/>
      <c r="D59" s="117" t="n"/>
      <c r="E59" s="117" t="n"/>
      <c r="F59" s="117" t="n"/>
      <c r="G59" s="117" t="n"/>
      <c r="H59" s="117" t="n"/>
      <c r="I59" s="117" t="n"/>
      <c r="J59" s="117" t="n"/>
      <c r="K59" s="117" t="n"/>
      <c r="L59" s="117" t="n"/>
    </row>
    <row r="60" ht="14" customHeight="1" s="549">
      <c r="A60" s="733" t="inlineStr">
        <is>
          <t>Rendi-
ción</t>
        </is>
      </c>
      <c r="B60" s="729" t="inlineStr">
        <is>
          <t xml:space="preserve">  FASE 8 — RENDICIÓN SISREC Y SEGUIMIENTO FINANCIERO</t>
        </is>
      </c>
      <c r="C60" s="730" t="n"/>
      <c r="D60" s="733" t="n"/>
      <c r="E60" s="681" t="n"/>
      <c r="F60" s="730" t="n"/>
      <c r="G60" s="730" t="n"/>
      <c r="H60" s="730" t="n"/>
      <c r="I60" s="730" t="n"/>
      <c r="J60" s="730" t="n"/>
      <c r="K60" s="730" t="n"/>
      <c r="L60" s="730" t="n"/>
      <c r="M60" s="681" t="n"/>
      <c r="N60" s="681" t="n"/>
      <c r="O60" s="681" t="n"/>
      <c r="P60" s="681" t="n"/>
    </row>
    <row r="61" ht="14" customHeight="1" s="549">
      <c r="A61" s="756" t="inlineStr">
        <is>
          <t>Rendición</t>
        </is>
      </c>
      <c r="B61" s="749" t="inlineStr">
        <is>
          <t xml:space="preserve">      Rendición mensual SISREC (plazo: 15 días hábiles tras cierre de mes)</t>
        </is>
      </c>
      <c r="C61" s="757" t="inlineStr">
        <is>
          <t>11m</t>
        </is>
      </c>
      <c r="D61" s="756" t="inlineStr">
        <is>
          <t>Apoyo Financiero</t>
        </is>
      </c>
      <c r="E61" s="686" t="n"/>
      <c r="F61" s="757" t="n"/>
      <c r="G61" s="757" t="n"/>
      <c r="H61" s="757" t="n"/>
      <c r="I61" s="757" t="n"/>
      <c r="J61" s="757" t="n"/>
      <c r="K61" s="757" t="n"/>
      <c r="L61" s="757" t="n"/>
      <c r="M61" s="686" t="n"/>
      <c r="N61" s="686" t="n"/>
      <c r="O61" s="686" t="n"/>
      <c r="P61" s="686" t="n"/>
    </row>
    <row r="62" ht="14" customHeight="1" s="549">
      <c r="A62" s="733" t="inlineStr">
        <is>
          <t>Rendición</t>
        </is>
      </c>
      <c r="B62" s="729" t="inlineStr">
        <is>
          <t xml:space="preserve">      Conciliación bancaria mensual · carta conductora DIPIR · GORE Coquimbo</t>
        </is>
      </c>
      <c r="C62" s="730" t="inlineStr">
        <is>
          <t>11m</t>
        </is>
      </c>
      <c r="D62" s="733" t="inlineStr">
        <is>
          <t>Apoyo Financiero</t>
        </is>
      </c>
      <c r="E62" s="681" t="n"/>
      <c r="F62" s="730" t="n"/>
      <c r="G62" s="730" t="n"/>
      <c r="H62" s="730" t="n"/>
      <c r="I62" s="730" t="n"/>
      <c r="J62" s="730" t="n"/>
      <c r="K62" s="730" t="n"/>
      <c r="L62" s="730" t="n"/>
      <c r="M62" s="681" t="n"/>
      <c r="N62" s="681" t="n"/>
      <c r="O62" s="681" t="n"/>
      <c r="P62" s="681" t="n"/>
    </row>
    <row r="63" ht="14" customHeight="1" s="549">
      <c r="A63" s="756" t="inlineStr">
        <is>
          <t>Rendición</t>
        </is>
      </c>
      <c r="B63" s="749" t="inlineStr">
        <is>
          <t xml:space="preserve">      Gestión observaciones GORE · corrección documentos y reenvío</t>
        </is>
      </c>
      <c r="C63" s="757" t="inlineStr">
        <is>
          <t>11m</t>
        </is>
      </c>
      <c r="D63" s="756" t="inlineStr">
        <is>
          <t>Apoyo Financiero</t>
        </is>
      </c>
      <c r="E63" s="686" t="n"/>
      <c r="F63" s="686" t="n"/>
      <c r="G63" s="757" t="n"/>
      <c r="H63" s="757" t="n"/>
      <c r="I63" s="757" t="n"/>
      <c r="J63" s="757" t="n"/>
      <c r="K63" s="757" t="n"/>
      <c r="L63" s="757" t="n"/>
      <c r="M63" s="686" t="n"/>
      <c r="N63" s="686" t="n"/>
      <c r="O63" s="686" t="n"/>
      <c r="P63" s="686" t="n"/>
    </row>
    <row r="64"/>
    <row r="65" ht="14" customHeight="1" s="549">
      <c r="A65" s="733" t="inlineStr">
        <is>
          <t>Cierre</t>
        </is>
      </c>
      <c r="B65" s="729" t="inlineStr">
        <is>
          <t xml:space="preserve">  FASE 9 — CIERRE TÉCNICO Y ADMINISTRATIVO</t>
        </is>
      </c>
      <c r="C65" s="730" t="n"/>
      <c r="D65" s="733" t="n"/>
      <c r="E65" s="681" t="n"/>
      <c r="F65" s="681" t="n"/>
      <c r="G65" s="681" t="n"/>
      <c r="H65" s="681" t="n"/>
      <c r="I65" s="681" t="n"/>
      <c r="J65" s="681" t="n"/>
      <c r="K65" s="681" t="n"/>
      <c r="L65" s="730" t="n"/>
      <c r="M65" s="730" t="n"/>
      <c r="N65" s="730" t="n"/>
      <c r="O65" s="730" t="n"/>
      <c r="P65" s="730" t="n"/>
    </row>
    <row r="66" ht="14" customHeight="1" s="549">
      <c r="A66" s="756" t="inlineStr">
        <is>
          <t>Cierre</t>
        </is>
      </c>
      <c r="B66" s="749" t="inlineStr">
        <is>
          <t xml:space="preserve">      Elaboración Informe Final Técnico-Financiero (GORE + acciona.org)</t>
        </is>
      </c>
      <c r="C66" s="757" t="inlineStr">
        <is>
          <t>2m</t>
        </is>
      </c>
      <c r="D66" s="756" t="inlineStr">
        <is>
          <t>Agustín D. / GORE</t>
        </is>
      </c>
      <c r="E66" s="686" t="n"/>
      <c r="F66" s="686" t="n"/>
      <c r="G66" s="686" t="n"/>
      <c r="H66" s="686" t="n"/>
      <c r="I66" s="686" t="n"/>
      <c r="J66" s="686" t="n"/>
      <c r="K66" s="686" t="n"/>
      <c r="L66" s="757" t="n"/>
      <c r="M66" s="757" t="n"/>
      <c r="N66" s="686" t="n"/>
      <c r="O66" s="686" t="n"/>
      <c r="P66" s="686" t="n"/>
    </row>
    <row r="67" ht="14" customHeight="1" s="549">
      <c r="A67" s="733" t="inlineStr">
        <is>
          <t>Cierre</t>
        </is>
      </c>
      <c r="B67" s="729" t="inlineStr">
        <is>
          <t xml:space="preserve">      Acta de Administración y Resguardo definitiva · inventario de activos (75 equipos)</t>
        </is>
      </c>
      <c r="C67" s="730" t="inlineStr">
        <is>
          <t>2m</t>
        </is>
      </c>
      <c r="D67" s="733" t="inlineStr">
        <is>
          <t>Agustín D.</t>
        </is>
      </c>
      <c r="E67" s="681" t="n"/>
      <c r="F67" s="681" t="n"/>
      <c r="G67" s="681" t="n"/>
      <c r="H67" s="681" t="n"/>
      <c r="I67" s="681" t="n"/>
      <c r="J67" s="681" t="n"/>
      <c r="K67" s="681" t="n"/>
      <c r="L67" s="730" t="n"/>
      <c r="M67" s="730" t="n"/>
      <c r="N67" s="681" t="n"/>
      <c r="O67" s="681" t="n"/>
      <c r="P67" s="681" t="n"/>
    </row>
    <row r="68" ht="14" customHeight="1" s="549">
      <c r="A68" s="756" t="inlineStr">
        <is>
          <t>Cierre</t>
        </is>
      </c>
      <c r="B68" s="749" t="inlineStr">
        <is>
          <t xml:space="preserve">      Rendición final acumulada · cuadre total de gastos GORE vs FNDR</t>
        </is>
      </c>
      <c r="C68" s="757" t="inlineStr">
        <is>
          <t>1m</t>
        </is>
      </c>
      <c r="D68" s="756" t="inlineStr">
        <is>
          <t>Apoyo Financiero</t>
        </is>
      </c>
      <c r="E68" s="686" t="n"/>
      <c r="F68" s="686" t="n"/>
      <c r="G68" s="686" t="n"/>
      <c r="H68" s="686" t="n"/>
      <c r="I68" s="686" t="n"/>
      <c r="J68" s="686" t="n"/>
      <c r="K68" s="686" t="n"/>
      <c r="L68" s="686" t="n"/>
      <c r="M68" s="757" t="n"/>
      <c r="N68" s="757" t="n"/>
      <c r="O68" s="686" t="n"/>
      <c r="P68" s="686" t="n"/>
    </row>
    <row r="69" ht="14" customHeight="1" s="549">
      <c r="A69" s="733" t="inlineStr">
        <is>
          <t>Cierre</t>
        </is>
      </c>
      <c r="B69" s="729" t="inlineStr">
        <is>
          <t xml:space="preserve">      Solicitud de cierre formal proyecto en SISREC (Subt. 33)</t>
        </is>
      </c>
      <c r="C69" s="730" t="inlineStr">
        <is>
          <t>1m</t>
        </is>
      </c>
      <c r="D69" s="733" t="inlineStr">
        <is>
          <t>Apoyo Financiero</t>
        </is>
      </c>
      <c r="E69" s="681" t="n"/>
      <c r="F69" s="681" t="n"/>
      <c r="G69" s="681" t="n"/>
      <c r="H69" s="681" t="n"/>
      <c r="I69" s="681" t="n"/>
      <c r="J69" s="681" t="n"/>
      <c r="K69" s="681" t="n"/>
      <c r="L69" s="681" t="n"/>
      <c r="M69" s="681" t="n"/>
      <c r="N69" s="730" t="n"/>
      <c r="O69" s="730" t="n"/>
      <c r="P69" s="681" t="n"/>
    </row>
    <row r="70" ht="14" customHeight="1" s="549">
      <c r="A70" s="756" t="inlineStr">
        <is>
          <t>Cierre</t>
        </is>
      </c>
      <c r="B70" s="749" t="inlineStr">
        <is>
          <t xml:space="preserve">      Tramitación liberación garantía / boleta de fiel cumplimiento (si aplica)</t>
        </is>
      </c>
      <c r="C70" s="757" t="inlineStr">
        <is>
          <t>1m</t>
        </is>
      </c>
      <c r="D70" s="756" t="inlineStr">
        <is>
          <t>Agustín D. / GORE</t>
        </is>
      </c>
      <c r="E70" s="686" t="n"/>
      <c r="F70" s="686" t="n"/>
      <c r="G70" s="686" t="n"/>
      <c r="H70" s="686" t="n"/>
      <c r="I70" s="686" t="n"/>
      <c r="J70" s="686" t="n"/>
      <c r="K70" s="686" t="n"/>
      <c r="L70" s="686" t="n"/>
      <c r="M70" s="686" t="n"/>
      <c r="N70" s="686" t="n"/>
      <c r="O70" s="757" t="n"/>
      <c r="P70" s="757" t="n"/>
    </row>
    <row r="71" ht="14" customHeight="1" s="549">
      <c r="A71" s="733" t="inlineStr">
        <is>
          <t>Cierre</t>
        </is>
      </c>
      <c r="B71" s="729" t="inlineStr">
        <is>
          <t xml:space="preserve">  ◆  Proyecto cerrado y aprobado por GORE · rendición 100% aprobada</t>
        </is>
      </c>
      <c r="C71" s="730" t="inlineStr">
        <is>
          <t>⬥</t>
        </is>
      </c>
      <c r="D71" s="733" t="inlineStr">
        <is>
          <t>—</t>
        </is>
      </c>
      <c r="E71" s="681" t="n"/>
      <c r="F71" s="681" t="n"/>
      <c r="G71" s="681" t="n"/>
      <c r="H71" s="681" t="n"/>
      <c r="I71" s="681" t="n"/>
      <c r="J71" s="681" t="n"/>
      <c r="K71" s="681" t="n"/>
      <c r="L71" s="681" t="n"/>
      <c r="M71" s="681" t="n"/>
      <c r="N71" s="681" t="n"/>
      <c r="O71" s="681" t="n"/>
      <c r="P71" s="730" t="inlineStr">
        <is>
          <t>◆</t>
        </is>
      </c>
    </row>
    <row r="72" ht="6" customHeight="1" s="549">
      <c r="A72" s="117" t="n"/>
      <c r="B72" s="117" t="n"/>
      <c r="C72" s="117" t="n"/>
      <c r="D72" s="117" t="n"/>
      <c r="E72" s="117" t="n"/>
      <c r="F72" s="117" t="n"/>
      <c r="G72" s="117" t="n"/>
      <c r="H72" s="117" t="n"/>
      <c r="I72" s="117" t="n"/>
      <c r="J72" s="117" t="n"/>
      <c r="K72" s="117" t="n"/>
      <c r="L72" s="117" t="n"/>
      <c r="M72" s="117" t="n"/>
      <c r="N72" s="117" t="n"/>
      <c r="O72" s="117" t="n"/>
      <c r="P72" s="117" t="n"/>
    </row>
    <row r="73" ht="14" customHeight="1" s="549">
      <c r="A73" s="757" t="inlineStr">
        <is>
          <t>LEYENDA DE COLORES POR FASE</t>
        </is>
      </c>
      <c r="B73" s="686" t="n"/>
      <c r="C73" s="686" t="n"/>
      <c r="D73" s="686" t="n"/>
      <c r="E73" s="686" t="n"/>
      <c r="F73" s="686" t="n"/>
      <c r="G73" s="686" t="n"/>
      <c r="H73" s="686" t="n"/>
      <c r="I73" s="686" t="n"/>
      <c r="J73" s="686" t="n"/>
      <c r="K73" s="686" t="n"/>
      <c r="L73" s="686" t="n"/>
      <c r="M73" s="686" t="n"/>
      <c r="N73" s="686" t="n"/>
      <c r="O73" s="686" t="n"/>
      <c r="P73" s="686" t="n"/>
    </row>
    <row r="74" ht="14" customHeight="1" s="549">
      <c r="A74" s="681" t="n"/>
      <c r="B74" s="681" t="n"/>
      <c r="C74" s="681" t="n"/>
      <c r="D74" s="681" t="n"/>
      <c r="E74" s="681" t="n"/>
      <c r="F74" s="729" t="inlineStr">
        <is>
          <t>Gestión / Convenio</t>
        </is>
      </c>
      <c r="G74" s="681" t="n"/>
      <c r="H74" s="729" t="inlineStr">
        <is>
          <t>Compra de equipos</t>
        </is>
      </c>
      <c r="I74" s="681" t="n"/>
      <c r="J74" s="729" t="inlineStr">
        <is>
          <t>Importación / Aduana</t>
        </is>
      </c>
      <c r="K74" s="681" t="n"/>
      <c r="L74" s="729" t="inlineStr">
        <is>
          <t>Contratación personal</t>
        </is>
      </c>
      <c r="M74" s="681" t="n"/>
      <c r="N74" s="729" t="inlineStr">
        <is>
          <t>Materiales e insumos</t>
        </is>
      </c>
      <c r="O74" s="681" t="n"/>
      <c r="P74" s="681" t="n"/>
    </row>
    <row r="75" ht="14" customHeight="1" s="549">
      <c r="A75" s="686" t="n"/>
      <c r="B75" s="686" t="n"/>
      <c r="C75" s="686" t="n"/>
      <c r="D75" s="686" t="n"/>
      <c r="E75" s="686" t="n"/>
      <c r="F75" s="749" t="inlineStr">
        <is>
          <t>Logística nacional</t>
        </is>
      </c>
      <c r="G75" s="686" t="n"/>
      <c r="H75" s="749" t="inlineStr">
        <is>
          <t>Instalación terreno</t>
        </is>
      </c>
      <c r="I75" s="686" t="n"/>
      <c r="J75" s="749" t="inlineStr">
        <is>
          <t>Rendición SISREC</t>
        </is>
      </c>
      <c r="K75" s="686" t="n"/>
      <c r="L75" s="749" t="inlineStr">
        <is>
          <t>Cierre</t>
        </is>
      </c>
      <c r="M75" s="686" t="n"/>
      <c r="N75" s="749" t="inlineStr">
        <is>
          <t>◆ Hito clave</t>
        </is>
      </c>
      <c r="O75" s="686" t="n"/>
      <c r="P75" s="686" t="n"/>
    </row>
    <row r="76" ht="14" customHeight="1" s="549">
      <c r="A76" s="694" t="inlineStr">
        <is>
          <t>⚠ CARTA GANTT REFERENCIAL — Plazos estimados conforme a Minuta de Proyecto Rev.1 (17/02/2026) y distribución de gastos del Flujo Neto/Bruto v1.4. Inicio del proyecto: julio 2026 (suscripción convenio GORE). Término instalaciones: febrero 2027. Cierre administrativo: junio 2027. La distribución de lotes sigue los factores de Supuestos: Lote 1=30% (nov-2026) · Lote 2=50% (dic-2026+ene-2027) · Lote 3=20% (feb-2027). Lead time importación Zimpertec: 4-5 meses fabricación + ~6 semanas transporte marítimo (dato Minuta Técnica Rev.1.0). Plazos reales sujetos a fecha de firma del convenio y disponibilidad de cuadrillas.</t>
        </is>
      </c>
      <c r="B76" s="681" t="n"/>
      <c r="C76" s="681" t="n"/>
      <c r="D76" s="681" t="n"/>
      <c r="E76" s="681" t="n"/>
      <c r="F76" s="681" t="n"/>
      <c r="G76" s="681" t="n"/>
      <c r="H76" s="681" t="n"/>
      <c r="I76" s="681" t="n"/>
      <c r="J76" s="681" t="n"/>
      <c r="K76" s="681" t="n"/>
      <c r="L76" s="681" t="n"/>
      <c r="M76" s="681" t="n"/>
      <c r="N76" s="681" t="n"/>
      <c r="O76" s="681" t="n"/>
      <c r="P76" s="681" t="n"/>
    </row>
  </sheetData>
  <mergeCells count="6">
    <mergeCell ref="A76:P76"/>
    <mergeCell ref="A1:P1"/>
    <mergeCell ref="K3:P3"/>
    <mergeCell ref="A73:D73"/>
    <mergeCell ref="E3:J3"/>
    <mergeCell ref="A2:P2"/>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tabColor rgb="004472C4"/>
    <outlinePr summaryBelow="1" summaryRight="1"/>
    <pageSetUpPr/>
  </sheetPr>
  <dimension ref="A1:AN89"/>
  <sheetViews>
    <sheetView showGridLines="0" topLeftCell="E1" zoomScale="70" zoomScaleNormal="70" workbookViewId="0">
      <selection activeCell="E19" sqref="E19"/>
    </sheetView>
  </sheetViews>
  <sheetFormatPr baseColWidth="10" defaultColWidth="11.42578125" defaultRowHeight="12" outlineLevelRow="1"/>
  <cols>
    <col hidden="1" width="47" customWidth="1" style="260" min="1" max="4"/>
    <col width="10" customWidth="1" style="549" min="2" max="2"/>
    <col width="10" customWidth="1" style="549" min="3" max="3"/>
    <col width="10" customWidth="1" style="549" min="4" max="4"/>
    <col width="47" customWidth="1" style="261" min="5" max="5"/>
    <col width="13" customWidth="1" style="261" min="6" max="6"/>
    <col outlineLevel="1" width="47" customWidth="1" style="261" min="7" max="18"/>
    <col width="47" customWidth="1" style="549" min="8" max="8"/>
    <col width="47" customWidth="1" style="549" min="9" max="9"/>
    <col width="47" customWidth="1" style="549" min="10" max="10"/>
    <col width="47" customWidth="1" style="549" min="11" max="11"/>
    <col width="47" customWidth="1" style="549" min="12" max="12"/>
    <col width="47" customWidth="1" style="549" min="13" max="13"/>
    <col width="47" customWidth="1" style="549" min="14" max="14"/>
    <col width="47" customWidth="1" style="549" min="15" max="15"/>
    <col width="47" customWidth="1" style="549" min="16" max="16"/>
    <col width="47" customWidth="1" style="549" min="17" max="17"/>
    <col width="47" customWidth="1" style="549" min="18" max="18"/>
    <col width="15" customWidth="1" style="261" min="19" max="31"/>
    <col width="47" customWidth="1" style="549" min="20" max="20"/>
    <col width="47" customWidth="1" style="549" min="21" max="21"/>
    <col width="47" customWidth="1" style="549" min="22" max="22"/>
    <col width="47" customWidth="1" style="549" min="23" max="23"/>
    <col width="47" customWidth="1" style="549" min="24" max="24"/>
    <col width="47" customWidth="1" style="549" min="25" max="25"/>
    <col width="47" customWidth="1" style="549" min="26" max="26"/>
    <col width="47" customWidth="1" style="549" min="27" max="27"/>
    <col width="47" customWidth="1" style="549" min="28" max="28"/>
    <col width="47" customWidth="1" style="549" min="29" max="29"/>
    <col width="47" customWidth="1" style="549" min="30" max="30"/>
    <col width="47" customWidth="1" style="549" min="31" max="31"/>
    <col width="37" customWidth="1" style="261" min="32" max="32"/>
    <col width="37" customWidth="1" style="261" min="33" max="33"/>
    <col width="14" customWidth="1" style="261" min="34" max="35"/>
    <col width="37" customWidth="1" style="549" min="35" max="35"/>
    <col width="26" customWidth="1" style="260" min="36" max="36"/>
    <col width="14" customWidth="1" style="261" min="37" max="37"/>
    <col width="17" customWidth="1" style="261" min="38" max="38"/>
    <col width="10" customWidth="1" style="261" min="39" max="40"/>
    <col width="47" customWidth="1" style="549" min="40" max="40"/>
    <col width="11.42578125" customWidth="1" style="261" min="41" max="16384"/>
  </cols>
  <sheetData>
    <row r="1" ht="20" customHeight="1" s="549">
      <c r="A1" s="746" t="inlineStr">
        <is>
          <t>ANALÍTICA MENSUAL LOC CONSOLIDADA — LUZ EN CASA · GORE COQUIMBO</t>
        </is>
      </c>
    </row>
    <row r="2" ht="24" customHeight="1" s="549">
      <c r="A2" s="747" t="n"/>
      <c r="B2" s="747" t="n"/>
      <c r="C2" s="747" t="n"/>
      <c r="D2" s="747" t="n"/>
      <c r="E2" s="830" t="n"/>
      <c r="F2" s="747" t="n"/>
      <c r="G2" s="830" t="inlineStr">
        <is>
          <t>PAÍS:</t>
        </is>
      </c>
      <c r="H2" s="747">
        <f>#NAME?</f>
        <v/>
      </c>
      <c r="I2" s="747" t="n"/>
      <c r="J2" s="830" t="n"/>
      <c r="K2" s="830" t="n"/>
      <c r="L2" s="830" t="n"/>
      <c r="M2" s="830" t="n"/>
      <c r="N2" s="830" t="n"/>
      <c r="O2" s="830" t="n"/>
      <c r="P2" s="830" t="n"/>
      <c r="Q2" s="747" t="n"/>
      <c r="R2" s="747" t="n"/>
      <c r="S2" s="747" t="n"/>
      <c r="T2" s="747" t="n"/>
      <c r="U2" s="747" t="n"/>
      <c r="V2" s="747" t="n"/>
      <c r="W2" s="747" t="n"/>
      <c r="X2" s="747" t="n"/>
      <c r="Y2" s="747" t="n"/>
      <c r="Z2" s="747" t="n"/>
      <c r="AA2" s="747" t="n"/>
      <c r="AB2" s="747" t="n"/>
      <c r="AC2" s="747" t="n"/>
      <c r="AD2" s="747" t="n"/>
      <c r="AE2" s="747" t="n"/>
      <c r="AF2" s="747" t="n"/>
      <c r="AG2" s="747" t="n"/>
      <c r="AH2" s="747" t="n"/>
      <c r="AI2" s="747" t="n"/>
      <c r="AJ2" s="747" t="n"/>
      <c r="AK2" s="747" t="n"/>
      <c r="AL2" s="747" t="n"/>
      <c r="AM2" s="747" t="n"/>
      <c r="AN2" s="747" t="n"/>
    </row>
    <row r="3" ht="14" customHeight="1" s="549">
      <c r="A3" s="681" t="n"/>
      <c r="B3" s="681" t="n"/>
      <c r="C3" s="681" t="n"/>
      <c r="D3" s="681" t="n"/>
      <c r="E3" s="831" t="n"/>
      <c r="F3" s="681" t="n"/>
      <c r="G3" s="831" t="inlineStr">
        <is>
          <t>DATO:</t>
        </is>
      </c>
      <c r="H3" s="832">
        <f>#NAME?</f>
        <v/>
      </c>
      <c r="I3" s="681" t="n"/>
      <c r="J3" s="681" t="n"/>
      <c r="K3" s="681" t="n"/>
      <c r="L3" s="681" t="n"/>
      <c r="M3" s="681" t="n"/>
      <c r="N3" s="681" t="n"/>
      <c r="O3" s="681" t="n"/>
      <c r="P3" s="831" t="n"/>
      <c r="Q3" s="681" t="n"/>
      <c r="R3" s="681" t="n"/>
      <c r="S3" s="681" t="n"/>
      <c r="T3" s="681" t="n"/>
      <c r="U3" s="681" t="n"/>
      <c r="V3" s="681" t="n"/>
      <c r="W3" s="681" t="n"/>
      <c r="X3" s="681" t="n"/>
      <c r="Y3" s="681" t="n"/>
      <c r="Z3" s="681" t="n"/>
      <c r="AA3" s="681" t="n"/>
      <c r="AB3" s="681" t="n"/>
      <c r="AC3" s="681" t="n"/>
      <c r="AD3" s="681" t="n"/>
      <c r="AE3" s="681" t="n"/>
      <c r="AF3" s="681" t="n"/>
      <c r="AG3" s="681" t="n"/>
      <c r="AH3" s="681" t="n"/>
      <c r="AI3" s="681" t="n"/>
      <c r="AJ3" s="681" t="n"/>
      <c r="AK3" s="681" t="n"/>
      <c r="AL3" s="681" t="n"/>
      <c r="AM3" s="681" t="n"/>
      <c r="AN3" s="681" t="n"/>
    </row>
    <row r="4" ht="14" customHeight="1" s="549">
      <c r="A4" s="686" t="n"/>
      <c r="B4" s="686" t="n"/>
      <c r="C4" s="686" t="n"/>
      <c r="D4" s="686" t="n"/>
      <c r="E4" s="833" t="n"/>
      <c r="F4" s="686" t="n"/>
      <c r="G4" s="834" t="inlineStr">
        <is>
          <t>CTRO COSTE</t>
        </is>
      </c>
      <c r="H4" s="835" t="inlineStr">
        <is>
          <t>APR Propio</t>
        </is>
      </c>
      <c r="I4" s="686" t="n"/>
      <c r="J4" s="686" t="n"/>
      <c r="K4" s="686" t="n"/>
      <c r="L4" s="686" t="n"/>
      <c r="M4" s="686" t="n"/>
      <c r="N4" s="686" t="n"/>
      <c r="O4" s="686" t="n"/>
      <c r="P4" s="686" t="n"/>
      <c r="Q4" s="686" t="n"/>
      <c r="R4" s="686" t="n"/>
      <c r="S4" s="686" t="n"/>
      <c r="T4" s="686" t="n"/>
      <c r="U4" s="686" t="n"/>
      <c r="V4" s="686" t="n"/>
      <c r="W4" s="686" t="n"/>
      <c r="X4" s="686" t="n"/>
      <c r="Y4" s="686" t="n"/>
      <c r="Z4" s="686" t="n"/>
      <c r="AA4" s="686" t="n"/>
      <c r="AB4" s="686" t="n"/>
      <c r="AC4" s="686" t="n"/>
      <c r="AD4" s="686" t="n"/>
      <c r="AE4" s="686" t="n"/>
      <c r="AF4" s="686" t="n"/>
      <c r="AG4" s="686" t="n"/>
      <c r="AH4" s="836">
        <f>#NAME?</f>
        <v/>
      </c>
      <c r="AI4" s="834" t="n"/>
      <c r="AJ4" s="834" t="n"/>
      <c r="AK4" s="686" t="n"/>
      <c r="AL4" s="686" t="n"/>
      <c r="AM4" s="686" t="n"/>
      <c r="AN4" s="686" t="n"/>
    </row>
    <row r="5" ht="14" customHeight="1" s="549">
      <c r="A5" s="681" t="n"/>
      <c r="B5" s="681" t="n"/>
      <c r="C5" s="681" t="n"/>
      <c r="D5" s="681" t="n"/>
      <c r="E5" s="681" t="n"/>
      <c r="F5" s="681" t="n"/>
      <c r="G5" s="681" t="n"/>
      <c r="H5" s="681" t="n"/>
      <c r="I5" s="681" t="n"/>
      <c r="J5" s="681" t="n"/>
      <c r="K5" s="681" t="n"/>
      <c r="L5" s="681" t="n"/>
      <c r="M5" s="681" t="n"/>
      <c r="N5" s="681" t="n"/>
      <c r="O5" s="681" t="n"/>
      <c r="P5" s="681" t="n"/>
      <c r="Q5" s="681" t="n"/>
      <c r="R5" s="681" t="n"/>
      <c r="S5" s="681" t="n"/>
      <c r="T5" s="681" t="n"/>
      <c r="U5" s="681" t="n"/>
      <c r="V5" s="681" t="n"/>
      <c r="W5" s="681" t="n"/>
      <c r="X5" s="681" t="n"/>
      <c r="Y5" s="681" t="n"/>
      <c r="Z5" s="681" t="n"/>
      <c r="AA5" s="681" t="n"/>
      <c r="AB5" s="681" t="n"/>
      <c r="AC5" s="681" t="n"/>
      <c r="AD5" s="681" t="n"/>
      <c r="AE5" s="681" t="n"/>
      <c r="AF5" s="681" t="n"/>
      <c r="AG5" s="823">
        <f>#NAME?</f>
        <v/>
      </c>
      <c r="AH5" s="681" t="n"/>
      <c r="AI5" s="681" t="n"/>
      <c r="AJ5" s="681" t="n"/>
      <c r="AK5" s="681" t="n"/>
      <c r="AL5" s="681" t="n"/>
      <c r="AM5" s="681" t="n"/>
      <c r="AN5" s="681" t="n"/>
    </row>
    <row r="6" ht="14" customHeight="1" s="549">
      <c r="A6" s="836" t="inlineStr">
        <is>
          <t>AUXILIAR</t>
        </is>
      </c>
      <c r="B6" s="834" t="n"/>
      <c r="C6" s="834" t="n"/>
      <c r="D6" s="836" t="n"/>
      <c r="E6" s="837" t="inlineStr">
        <is>
          <t>ANALÍTICA MENSUAL LOC CONSOLIDADA</t>
        </is>
      </c>
      <c r="F6" s="836" t="inlineStr">
        <is>
          <t>EJECUTADO</t>
        </is>
      </c>
      <c r="G6" s="836" t="inlineStr">
        <is>
          <t>SIMULACIÓN</t>
        </is>
      </c>
      <c r="H6" s="834" t="n"/>
      <c r="I6" s="834" t="n"/>
      <c r="J6" s="834" t="n"/>
      <c r="K6" s="834" t="n"/>
      <c r="L6" s="834" t="n"/>
      <c r="M6" s="834" t="n"/>
      <c r="N6" s="834" t="n"/>
      <c r="O6" s="834" t="n"/>
      <c r="P6" s="834" t="n"/>
      <c r="Q6" s="834" t="n"/>
      <c r="R6" s="834" t="n"/>
      <c r="S6" s="820" t="inlineStr">
        <is>
          <t>BUDGET</t>
        </is>
      </c>
      <c r="T6" s="836" t="inlineStr">
        <is>
          <t>SIMULACIÓN</t>
        </is>
      </c>
      <c r="U6" s="834" t="n"/>
      <c r="V6" s="834" t="n"/>
      <c r="W6" s="834" t="n"/>
      <c r="X6" s="834" t="n"/>
      <c r="Y6" s="834" t="n"/>
      <c r="Z6" s="834" t="n"/>
      <c r="AA6" s="834" t="n"/>
      <c r="AB6" s="834" t="n"/>
      <c r="AC6" s="834" t="n"/>
      <c r="AD6" s="834" t="n"/>
      <c r="AE6" s="834" t="n"/>
      <c r="AF6" s="820" t="inlineStr">
        <is>
          <t>BUDGET</t>
        </is>
      </c>
      <c r="AG6" s="820" t="inlineStr">
        <is>
          <t>TOTAL</t>
        </is>
      </c>
      <c r="AH6" s="820">
        <f>#NAME?</f>
        <v/>
      </c>
      <c r="AI6" s="820">
        <f>#NAME?</f>
        <v/>
      </c>
      <c r="AJ6" s="820">
        <f>#NAME?</f>
        <v/>
      </c>
      <c r="AK6" s="686" t="n"/>
      <c r="AL6" s="686" t="n"/>
      <c r="AM6" s="686" t="n"/>
      <c r="AN6" s="686" t="n"/>
    </row>
    <row r="7" ht="14" customFormat="1" customHeight="1" s="838">
      <c r="A7" s="839" t="inlineStr">
        <is>
          <t>CTRO. COSTE</t>
        </is>
      </c>
      <c r="B7" s="839" t="inlineStr">
        <is>
          <t>NIVEL 1</t>
        </is>
      </c>
      <c r="C7" s="839" t="inlineStr">
        <is>
          <t>NIVEL 2</t>
        </is>
      </c>
      <c r="D7" s="839" t="inlineStr">
        <is>
          <t>P&amp;G</t>
        </is>
      </c>
      <c r="E7" s="831" t="n"/>
      <c r="F7" s="840" t="inlineStr">
        <is>
          <t>ANTERIOR</t>
        </is>
      </c>
      <c r="G7" s="841" t="n">
        <v>46023</v>
      </c>
      <c r="H7" s="841" t="n">
        <v>46054</v>
      </c>
      <c r="I7" s="841" t="n">
        <v>46082</v>
      </c>
      <c r="J7" s="841" t="n">
        <v>46113</v>
      </c>
      <c r="K7" s="841" t="n">
        <v>46143</v>
      </c>
      <c r="L7" s="841" t="n">
        <v>46174</v>
      </c>
      <c r="M7" s="841" t="n">
        <v>46204</v>
      </c>
      <c r="N7" s="841" t="n">
        <v>46235</v>
      </c>
      <c r="O7" s="841" t="n">
        <v>46266</v>
      </c>
      <c r="P7" s="841" t="n">
        <v>46296</v>
      </c>
      <c r="Q7" s="841" t="n">
        <v>46327</v>
      </c>
      <c r="R7" s="841" t="n">
        <v>46357</v>
      </c>
      <c r="S7" s="842" t="n">
        <v>2026</v>
      </c>
      <c r="T7" s="841" t="n">
        <v>46388</v>
      </c>
      <c r="U7" s="841" t="n">
        <v>46419</v>
      </c>
      <c r="V7" s="841" t="n">
        <v>46447</v>
      </c>
      <c r="W7" s="841" t="n">
        <v>46478</v>
      </c>
      <c r="X7" s="841" t="n">
        <v>46508</v>
      </c>
      <c r="Y7" s="841" t="n">
        <v>46539</v>
      </c>
      <c r="Z7" s="841" t="n">
        <v>46569</v>
      </c>
      <c r="AA7" s="841" t="n">
        <v>46600</v>
      </c>
      <c r="AB7" s="841" t="n">
        <v>46631</v>
      </c>
      <c r="AC7" s="841" t="n">
        <v>46661</v>
      </c>
      <c r="AD7" s="841" t="n">
        <v>46692</v>
      </c>
      <c r="AE7" s="841" t="n">
        <v>46722</v>
      </c>
      <c r="AF7" s="842" t="n">
        <v>2027</v>
      </c>
      <c r="AG7" s="843">
        <f>#NAME?</f>
        <v/>
      </c>
      <c r="AH7" s="843">
        <f>#NAME?</f>
        <v/>
      </c>
      <c r="AI7" s="843">
        <f>#NAME?</f>
        <v/>
      </c>
      <c r="AJ7" s="843">
        <f>#NAME?</f>
        <v/>
      </c>
      <c r="AK7" s="681" t="n"/>
      <c r="AL7" s="681" t="n"/>
      <c r="AM7" s="681" t="n"/>
      <c r="AN7" s="681" t="n"/>
    </row>
    <row r="8" ht="14" customFormat="1" customHeight="1" s="844">
      <c r="A8" s="845" t="inlineStr">
        <is>
          <t>PROYECTOS</t>
        </is>
      </c>
      <c r="B8" s="846">
        <f>+E7</f>
        <v/>
      </c>
      <c r="C8" s="846">
        <f>+E7</f>
        <v/>
      </c>
      <c r="D8" s="845" t="n"/>
      <c r="E8" s="847" t="inlineStr">
        <is>
          <t>PROYECTOS</t>
        </is>
      </c>
      <c r="F8" s="848" t="n"/>
      <c r="G8" s="849" t="n"/>
      <c r="H8" s="849" t="n"/>
      <c r="I8" s="849" t="n"/>
      <c r="J8" s="849" t="n"/>
      <c r="K8" s="849" t="n"/>
      <c r="L8" s="849" t="n"/>
      <c r="M8" s="849" t="n"/>
      <c r="N8" s="849" t="n"/>
      <c r="O8" s="849" t="n"/>
      <c r="P8" s="849" t="n"/>
      <c r="Q8" s="849" t="n"/>
      <c r="R8" s="849" t="n"/>
      <c r="S8" s="849" t="n"/>
      <c r="T8" s="849" t="n"/>
      <c r="U8" s="849" t="n"/>
      <c r="V8" s="849" t="n"/>
      <c r="W8" s="849" t="n"/>
      <c r="X8" s="849" t="n"/>
      <c r="Y8" s="849" t="n"/>
      <c r="Z8" s="849" t="n"/>
      <c r="AA8" s="849" t="n"/>
      <c r="AB8" s="849" t="n"/>
      <c r="AC8" s="849" t="n"/>
      <c r="AD8" s="849" t="n"/>
      <c r="AE8" s="849" t="n"/>
      <c r="AF8" s="849" t="n"/>
      <c r="AG8" s="849" t="n"/>
      <c r="AH8" s="848" t="n"/>
      <c r="AI8" s="848" t="n"/>
      <c r="AJ8" s="848" t="n"/>
      <c r="AK8" s="686" t="n"/>
      <c r="AL8" s="686" t="n"/>
      <c r="AM8" s="686" t="n"/>
      <c r="AN8" s="686" t="n"/>
    </row>
    <row r="9" ht="14" customFormat="1" customHeight="1" s="838">
      <c r="A9" s="850">
        <f>+A7</f>
        <v/>
      </c>
      <c r="B9" s="850">
        <f>+E8</f>
        <v/>
      </c>
      <c r="C9" s="850">
        <f>+E8</f>
        <v/>
      </c>
      <c r="D9" s="839" t="n"/>
      <c r="E9" s="839" t="inlineStr">
        <is>
          <t xml:space="preserve">        20. Ingresos de proyectos</t>
        </is>
      </c>
      <c r="F9" s="851" t="n"/>
      <c r="G9" s="851">
        <f>SUM(G9:G10)</f>
        <v/>
      </c>
      <c r="H9" s="851">
        <f>SUM(H9:H10)</f>
        <v/>
      </c>
      <c r="I9" s="851">
        <f>SUM(I9:I10)</f>
        <v/>
      </c>
      <c r="J9" s="851">
        <f>SUM(J9:J10)</f>
        <v/>
      </c>
      <c r="K9" s="851">
        <f>SUM(K9:K10)</f>
        <v/>
      </c>
      <c r="L9" s="851">
        <f>SUM(L9:L10)</f>
        <v/>
      </c>
      <c r="M9" s="851">
        <f>SUM(M9:M10)</f>
        <v/>
      </c>
      <c r="N9" s="851">
        <f>SUM(N9:N10)</f>
        <v/>
      </c>
      <c r="O9" s="851">
        <f>SUM(O9:O10)</f>
        <v/>
      </c>
      <c r="P9" s="851">
        <f>SUM(P9:P10)</f>
        <v/>
      </c>
      <c r="Q9" s="851">
        <f>SUM(Q9:Q10)</f>
        <v/>
      </c>
      <c r="R9" s="851">
        <f>SUM(R9:R10)</f>
        <v/>
      </c>
      <c r="S9" s="851">
        <f>SUM(G8:R8)</f>
        <v/>
      </c>
      <c r="T9" s="851">
        <f>SUM(T9:T10)</f>
        <v/>
      </c>
      <c r="U9" s="851">
        <f>SUM(U9:U10)</f>
        <v/>
      </c>
      <c r="V9" s="851">
        <f>SUM(V9:V10)</f>
        <v/>
      </c>
      <c r="W9" s="851">
        <f>SUM(W9:W10)</f>
        <v/>
      </c>
      <c r="X9" s="851">
        <f>SUM(X9:X10)</f>
        <v/>
      </c>
      <c r="Y9" s="851">
        <f>SUM(Y9:Y10)</f>
        <v/>
      </c>
      <c r="Z9" s="851">
        <f>SUM(Z9:Z10)</f>
        <v/>
      </c>
      <c r="AA9" s="851">
        <f>SUM(AA9:AA10)</f>
        <v/>
      </c>
      <c r="AB9" s="851">
        <f>SUM(AB9:AB10)</f>
        <v/>
      </c>
      <c r="AC9" s="851">
        <f>SUM(AC9:AC10)</f>
        <v/>
      </c>
      <c r="AD9" s="851">
        <f>SUM(AD9:AD10)</f>
        <v/>
      </c>
      <c r="AE9" s="851">
        <f>SUM(AE9:AE10)</f>
        <v/>
      </c>
      <c r="AF9" s="851">
        <f>SUM(T8:AE8)</f>
        <v/>
      </c>
      <c r="AG9" s="851">
        <f>SUM(AG9:AG10)</f>
        <v/>
      </c>
      <c r="AH9" s="851" t="n"/>
      <c r="AI9" s="851">
        <f>SUM(AI9:AI10)</f>
        <v/>
      </c>
      <c r="AJ9" s="852">
        <f>IF(AI8&lt;&gt;0,AI8/AH8,0)</f>
        <v/>
      </c>
      <c r="AK9" s="681" t="n"/>
      <c r="AL9" s="681" t="n"/>
      <c r="AM9" s="681" t="n"/>
      <c r="AN9" s="681" t="n"/>
    </row>
    <row r="10" ht="14" customFormat="1" customHeight="1" s="838">
      <c r="A10" s="846">
        <f>+A8</f>
        <v/>
      </c>
      <c r="B10" s="846">
        <f>+B8</f>
        <v/>
      </c>
      <c r="C10" s="846">
        <f>+E9</f>
        <v/>
      </c>
      <c r="D10" s="845" t="n"/>
      <c r="E10" s="845" t="inlineStr">
        <is>
          <t xml:space="preserve">            20.1. Subvenciones y ayudas AECID</t>
        </is>
      </c>
      <c r="F10" s="848" t="n"/>
      <c r="G10" s="849" t="n"/>
      <c r="H10" s="849" t="n"/>
      <c r="I10" s="849" t="n"/>
      <c r="J10" s="849" t="n"/>
      <c r="K10" s="849" t="n"/>
      <c r="L10" s="849" t="n"/>
      <c r="M10" s="849" t="n"/>
      <c r="N10" s="849" t="n"/>
      <c r="O10" s="849" t="n"/>
      <c r="P10" s="849" t="n"/>
      <c r="Q10" s="849" t="n"/>
      <c r="R10" s="849" t="n"/>
      <c r="S10" s="848">
        <f>SUM(G9:R9)</f>
        <v/>
      </c>
      <c r="T10" s="849" t="n"/>
      <c r="U10" s="849" t="n"/>
      <c r="V10" s="849" t="n"/>
      <c r="W10" s="849" t="n"/>
      <c r="X10" s="849" t="n"/>
      <c r="Y10" s="849" t="n"/>
      <c r="Z10" s="849" t="n"/>
      <c r="AA10" s="849" t="n"/>
      <c r="AB10" s="849" t="n"/>
      <c r="AC10" s="849" t="n"/>
      <c r="AD10" s="849" t="n"/>
      <c r="AE10" s="849" t="n"/>
      <c r="AF10" s="848">
        <f>SUM(T9:AE9)</f>
        <v/>
      </c>
      <c r="AG10" s="848">
        <f>+SUM(S9,F9,AF9)</f>
        <v/>
      </c>
      <c r="AH10" s="848" t="n"/>
      <c r="AI10" s="848">
        <f>+AG9-AH9</f>
        <v/>
      </c>
      <c r="AJ10" s="853">
        <f>IF(AI9&lt;&gt;0,AI9/AH9,0)</f>
        <v/>
      </c>
      <c r="AK10" s="686" t="n"/>
      <c r="AL10" s="686" t="n"/>
      <c r="AM10" s="686" t="n"/>
      <c r="AN10" s="686" t="n"/>
    </row>
    <row r="11" ht="14" customFormat="1" customHeight="1" s="844">
      <c r="A11" s="850">
        <f>+A9</f>
        <v/>
      </c>
      <c r="B11" s="850">
        <f>+B9</f>
        <v/>
      </c>
      <c r="C11" s="850">
        <f>+E10</f>
        <v/>
      </c>
      <c r="D11" s="839" t="n"/>
      <c r="E11" s="839" t="inlineStr">
        <is>
          <t xml:space="preserve">            20.2. Otras subvenciones y ayudas</t>
        </is>
      </c>
      <c r="F11" s="851" t="n"/>
      <c r="G11" s="854" t="n"/>
      <c r="H11" s="854" t="n"/>
      <c r="I11" s="854" t="n"/>
      <c r="J11" s="854" t="n"/>
      <c r="K11" s="854" t="n"/>
      <c r="L11" s="854" t="n"/>
      <c r="M11" s="854" t="n"/>
      <c r="N11" s="854" t="n"/>
      <c r="O11" s="854" t="n"/>
      <c r="P11" s="854" t="n"/>
      <c r="Q11" s="854" t="n"/>
      <c r="R11" s="854" t="n"/>
      <c r="S11" s="851">
        <f>SUM(G10:R10)</f>
        <v/>
      </c>
      <c r="T11" s="854" t="n"/>
      <c r="U11" s="854" t="n"/>
      <c r="V11" s="854" t="n"/>
      <c r="W11" s="854" t="n"/>
      <c r="X11" s="854" t="n"/>
      <c r="Y11" s="854" t="n"/>
      <c r="Z11" s="854" t="n"/>
      <c r="AA11" s="854" t="n"/>
      <c r="AB11" s="854" t="n"/>
      <c r="AC11" s="854" t="n"/>
      <c r="AD11" s="854" t="n"/>
      <c r="AE11" s="854" t="n"/>
      <c r="AF11" s="851">
        <f>SUM(T10:AE10)</f>
        <v/>
      </c>
      <c r="AG11" s="851">
        <f>+SUM(S10,F10,AF10)</f>
        <v/>
      </c>
      <c r="AH11" s="851" t="n"/>
      <c r="AI11" s="851">
        <f>+AG10-AH10</f>
        <v/>
      </c>
      <c r="AJ11" s="852">
        <f>IF(AI10&lt;&gt;0,AI10/AH10,0)</f>
        <v/>
      </c>
      <c r="AK11" s="681" t="n"/>
      <c r="AL11" s="681" t="n"/>
      <c r="AM11" s="681" t="n"/>
      <c r="AN11" s="681" t="n"/>
    </row>
    <row r="12" ht="14" customFormat="1" customHeight="1" s="838">
      <c r="A12" s="846">
        <f>+A10</f>
        <v/>
      </c>
      <c r="B12" s="846">
        <f>+E11</f>
        <v/>
      </c>
      <c r="C12" s="846">
        <f>+E11</f>
        <v/>
      </c>
      <c r="D12" s="845" t="n"/>
      <c r="E12" s="845" t="inlineStr">
        <is>
          <t xml:space="preserve">        21. Inversión de proyectos</t>
        </is>
      </c>
      <c r="F12" s="848" t="n"/>
      <c r="G12" s="848">
        <f>SUM(G12:G14)</f>
        <v/>
      </c>
      <c r="H12" s="848">
        <f>SUM(H12:H14)</f>
        <v/>
      </c>
      <c r="I12" s="848">
        <f>SUM(I12:I14)</f>
        <v/>
      </c>
      <c r="J12" s="848">
        <f>SUM(J12:J14)</f>
        <v/>
      </c>
      <c r="K12" s="848">
        <f>SUM(K12:K14)</f>
        <v/>
      </c>
      <c r="L12" s="848">
        <f>SUM(L12:L14)</f>
        <v/>
      </c>
      <c r="M12" s="848">
        <f>SUM(M12:M14)</f>
        <v/>
      </c>
      <c r="N12" s="848">
        <f>SUM(N12:N14)</f>
        <v/>
      </c>
      <c r="O12" s="848">
        <f>SUM(O12:O14)</f>
        <v/>
      </c>
      <c r="P12" s="848">
        <f>SUM(P12:P14)</f>
        <v/>
      </c>
      <c r="Q12" s="848">
        <f>SUM(Q12:Q14)</f>
        <v/>
      </c>
      <c r="R12" s="848">
        <f>SUM(R12:R14)</f>
        <v/>
      </c>
      <c r="S12" s="848">
        <f>SUM(G11:R11)</f>
        <v/>
      </c>
      <c r="T12" s="848">
        <f>SUM(T12:T14)</f>
        <v/>
      </c>
      <c r="U12" s="848">
        <f>SUM(U12:U14)</f>
        <v/>
      </c>
      <c r="V12" s="848">
        <f>SUM(V12:V14)</f>
        <v/>
      </c>
      <c r="W12" s="848">
        <f>SUM(W12:W14)</f>
        <v/>
      </c>
      <c r="X12" s="848">
        <f>SUM(X12:X14)</f>
        <v/>
      </c>
      <c r="Y12" s="848">
        <f>SUM(Y12:Y14)</f>
        <v/>
      </c>
      <c r="Z12" s="848">
        <f>SUM(Z12:Z14)</f>
        <v/>
      </c>
      <c r="AA12" s="848">
        <f>SUM(AA12:AA14)</f>
        <v/>
      </c>
      <c r="AB12" s="848">
        <f>SUM(AB12:AB14)</f>
        <v/>
      </c>
      <c r="AC12" s="848">
        <f>SUM(AC12:AC14)</f>
        <v/>
      </c>
      <c r="AD12" s="848">
        <f>SUM(AD12:AD14)</f>
        <v/>
      </c>
      <c r="AE12" s="848">
        <f>SUM(AE12:AE14)</f>
        <v/>
      </c>
      <c r="AF12" s="848">
        <f>SUM(T11:AE11)</f>
        <v/>
      </c>
      <c r="AG12" s="848">
        <f>SUM(AG12:AG14)</f>
        <v/>
      </c>
      <c r="AH12" s="848" t="n"/>
      <c r="AI12" s="848">
        <f>SUM(AI12:AI14)</f>
        <v/>
      </c>
      <c r="AJ12" s="853">
        <f>IF(AI11&lt;&gt;0,AI11/AH11,0)</f>
        <v/>
      </c>
      <c r="AK12" s="686" t="n"/>
      <c r="AL12" s="686" t="n"/>
      <c r="AM12" s="686" t="n"/>
      <c r="AN12" s="686" t="n"/>
    </row>
    <row r="13" ht="14" customFormat="1" customHeight="1" s="838">
      <c r="A13" s="850">
        <f>+A11</f>
        <v/>
      </c>
      <c r="B13" s="850">
        <f>+B11</f>
        <v/>
      </c>
      <c r="C13" s="850">
        <f>+E12</f>
        <v/>
      </c>
      <c r="D13" s="839" t="n"/>
      <c r="E13" s="839" t="inlineStr">
        <is>
          <t xml:space="preserve">            21.1. Compras activables equipos energía</t>
        </is>
      </c>
      <c r="F13" s="851" t="n"/>
      <c r="G13" s="854">
        <f>+SUM('Flujo Neto'!H6:H10)</f>
        <v/>
      </c>
      <c r="H13" s="854">
        <f>+SUM('Flujo Neto'!I6:I10)</f>
        <v/>
      </c>
      <c r="I13" s="854">
        <f>+SUM('Flujo Neto'!J6:J10)</f>
        <v/>
      </c>
      <c r="J13" s="854">
        <f>+SUM('Flujo Neto'!K6:K10)</f>
        <v/>
      </c>
      <c r="K13" s="854">
        <f>+SUM('Flujo Neto'!L6:L10)</f>
        <v/>
      </c>
      <c r="L13" s="854">
        <f>+SUM('Flujo Neto'!M6:M10)</f>
        <v/>
      </c>
      <c r="M13" s="854">
        <f>+SUM('Flujo Neto'!N6:N10)</f>
        <v/>
      </c>
      <c r="N13" s="854">
        <f>+SUM('Flujo Neto'!O6:O10)</f>
        <v/>
      </c>
      <c r="O13" s="854">
        <f>+SUM('Flujo Neto'!P6:P10)</f>
        <v/>
      </c>
      <c r="P13" s="854">
        <f>+SUM('Flujo Neto'!Q6:Q10)</f>
        <v/>
      </c>
      <c r="Q13" s="854">
        <f>+SUM('Flujo Neto'!R6:R10)</f>
        <v/>
      </c>
      <c r="R13" s="854">
        <f>+SUM('Flujo Neto'!S6:S10)</f>
        <v/>
      </c>
      <c r="S13" s="851">
        <f>SUM(G12:R12)</f>
        <v/>
      </c>
      <c r="T13" s="854">
        <f>+SUM('Flujo Neto'!V6:V10)</f>
        <v/>
      </c>
      <c r="U13" s="854">
        <f>+SUM('Flujo Neto'!W6:W10)</f>
        <v/>
      </c>
      <c r="V13" s="854">
        <f>+SUM('Flujo Neto'!X6:X10)</f>
        <v/>
      </c>
      <c r="W13" s="854">
        <f>+SUM('Flujo Neto'!Y6:Y10)</f>
        <v/>
      </c>
      <c r="X13" s="854">
        <f>+SUM('Flujo Neto'!Z6:Z10)</f>
        <v/>
      </c>
      <c r="Y13" s="854">
        <f>+SUM('Flujo Neto'!AA6:AA10)</f>
        <v/>
      </c>
      <c r="Z13" s="854">
        <f>+SUM('Flujo Neto'!AB6:AB10)</f>
        <v/>
      </c>
      <c r="AA13" s="854">
        <f>+SUM('Flujo Neto'!AC6:AC10)</f>
        <v/>
      </c>
      <c r="AB13" s="854">
        <f>+SUM('Flujo Neto'!AD6:AD10)</f>
        <v/>
      </c>
      <c r="AC13" s="854">
        <f>+SUM('Flujo Neto'!AE6:AE10)</f>
        <v/>
      </c>
      <c r="AD13" s="854">
        <f>+SUM('Flujo Neto'!AF6:AF10)</f>
        <v/>
      </c>
      <c r="AE13" s="854">
        <f>+SUM('Flujo Neto'!AG6:AG10)</f>
        <v/>
      </c>
      <c r="AF13" s="851">
        <f>SUM(T12:AE12)</f>
        <v/>
      </c>
      <c r="AG13" s="851">
        <f>+SUM(S12,F12,AF12)</f>
        <v/>
      </c>
      <c r="AH13" s="851" t="n"/>
      <c r="AI13" s="851">
        <f>+AG12-AH12</f>
        <v/>
      </c>
      <c r="AJ13" s="852">
        <f>IF(AI12&lt;&gt;0,AI12/AH12,0)</f>
        <v/>
      </c>
      <c r="AK13" s="681" t="n"/>
      <c r="AL13" s="681" t="n"/>
      <c r="AM13" s="681" t="n"/>
      <c r="AN13" s="681" t="n"/>
    </row>
    <row r="14" ht="14" customFormat="1" customHeight="1" s="838">
      <c r="A14" s="846">
        <f>+A12</f>
        <v/>
      </c>
      <c r="B14" s="846">
        <f>+B12</f>
        <v/>
      </c>
      <c r="C14" s="846">
        <f>+E13</f>
        <v/>
      </c>
      <c r="D14" s="845" t="n"/>
      <c r="E14" s="845" t="inlineStr">
        <is>
          <t xml:space="preserve">            21.2. Compras activables equipos agua</t>
        </is>
      </c>
      <c r="F14" s="848" t="n"/>
      <c r="G14" s="849" t="n"/>
      <c r="H14" s="849" t="n"/>
      <c r="I14" s="849" t="n"/>
      <c r="J14" s="849" t="n"/>
      <c r="K14" s="849" t="n"/>
      <c r="L14" s="849" t="n"/>
      <c r="M14" s="849" t="n"/>
      <c r="N14" s="849" t="n"/>
      <c r="O14" s="849" t="n"/>
      <c r="P14" s="849" t="n"/>
      <c r="Q14" s="849" t="n"/>
      <c r="R14" s="849" t="n"/>
      <c r="S14" s="848">
        <f>SUM(G13:R13)</f>
        <v/>
      </c>
      <c r="T14" s="849" t="n"/>
      <c r="U14" s="849" t="n"/>
      <c r="V14" s="849" t="n"/>
      <c r="W14" s="849" t="n"/>
      <c r="X14" s="849" t="n"/>
      <c r="Y14" s="849" t="n"/>
      <c r="Z14" s="849" t="n"/>
      <c r="AA14" s="849" t="n"/>
      <c r="AB14" s="849" t="n"/>
      <c r="AC14" s="849" t="n"/>
      <c r="AD14" s="849" t="n"/>
      <c r="AE14" s="849" t="n"/>
      <c r="AF14" s="848">
        <f>SUM(T13:AE13)</f>
        <v/>
      </c>
      <c r="AG14" s="848">
        <f>+SUM(S13,F13,AF13)</f>
        <v/>
      </c>
      <c r="AH14" s="848" t="n"/>
      <c r="AI14" s="848">
        <f>+AG13-AH13</f>
        <v/>
      </c>
      <c r="AJ14" s="853">
        <f>IF(AI13&lt;&gt;0,AI13/AH13,0)</f>
        <v/>
      </c>
      <c r="AK14" s="686" t="n"/>
      <c r="AL14" s="686" t="n"/>
      <c r="AM14" s="686" t="n"/>
      <c r="AN14" s="686" t="n"/>
    </row>
    <row r="15" ht="14" customFormat="1" customHeight="1" s="844">
      <c r="A15" s="850">
        <f>+A13</f>
        <v/>
      </c>
      <c r="B15" s="850">
        <f>+B13</f>
        <v/>
      </c>
      <c r="C15" s="850">
        <f>+E14</f>
        <v/>
      </c>
      <c r="D15" s="839" t="n"/>
      <c r="E15" s="839" t="inlineStr">
        <is>
          <t xml:space="preserve">            21.3. Trabajos realizados por otras empresas y activables como inversión</t>
        </is>
      </c>
      <c r="F15" s="851" t="n"/>
      <c r="G15" s="854" t="n"/>
      <c r="H15" s="854" t="n"/>
      <c r="I15" s="854" t="n"/>
      <c r="J15" s="854" t="n"/>
      <c r="K15" s="854" t="n"/>
      <c r="L15" s="854" t="n"/>
      <c r="M15" s="854" t="n"/>
      <c r="N15" s="854" t="n"/>
      <c r="O15" s="854" t="n"/>
      <c r="P15" s="854" t="n"/>
      <c r="Q15" s="854" t="n"/>
      <c r="R15" s="854" t="n"/>
      <c r="S15" s="851">
        <f>SUM(G14:R14)</f>
        <v/>
      </c>
      <c r="T15" s="854" t="n"/>
      <c r="U15" s="854" t="n"/>
      <c r="V15" s="854" t="n"/>
      <c r="W15" s="854" t="n"/>
      <c r="X15" s="854" t="n"/>
      <c r="Y15" s="854" t="n"/>
      <c r="Z15" s="854" t="n"/>
      <c r="AA15" s="854" t="n"/>
      <c r="AB15" s="854" t="n"/>
      <c r="AC15" s="854" t="n"/>
      <c r="AD15" s="854" t="n"/>
      <c r="AE15" s="854" t="n"/>
      <c r="AF15" s="851">
        <f>SUM(T14:AE14)</f>
        <v/>
      </c>
      <c r="AG15" s="851">
        <f>+SUM(S14,F14,AF14)</f>
        <v/>
      </c>
      <c r="AH15" s="851" t="n"/>
      <c r="AI15" s="851">
        <f>+AG14-AH14</f>
        <v/>
      </c>
      <c r="AJ15" s="852">
        <f>IF(AI14&lt;&gt;0,AI14/AH14,0)</f>
        <v/>
      </c>
      <c r="AK15" s="681" t="n"/>
      <c r="AL15" s="681" t="n"/>
      <c r="AM15" s="681" t="n"/>
      <c r="AN15" s="681" t="n"/>
    </row>
    <row r="16" ht="14" customFormat="1" customHeight="1" s="838">
      <c r="A16" s="846">
        <f>+A14</f>
        <v/>
      </c>
      <c r="B16" s="846">
        <f>+E15</f>
        <v/>
      </c>
      <c r="C16" s="846">
        <f>+E15</f>
        <v/>
      </c>
      <c r="D16" s="845" t="n"/>
      <c r="E16" s="845" t="inlineStr">
        <is>
          <t xml:space="preserve">        22. Compras inventariables de proyectos</t>
        </is>
      </c>
      <c r="F16" s="848" t="n"/>
      <c r="G16" s="848">
        <f>SUM(G16:G17)</f>
        <v/>
      </c>
      <c r="H16" s="848">
        <f>SUM(H16:H17)</f>
        <v/>
      </c>
      <c r="I16" s="848">
        <f>SUM(I16:I17)</f>
        <v/>
      </c>
      <c r="J16" s="848">
        <f>SUM(J16:J17)</f>
        <v/>
      </c>
      <c r="K16" s="848">
        <f>SUM(K16:K17)</f>
        <v/>
      </c>
      <c r="L16" s="848">
        <f>SUM(L16:L17)</f>
        <v/>
      </c>
      <c r="M16" s="848">
        <f>SUM(M16:M17)</f>
        <v/>
      </c>
      <c r="N16" s="848">
        <f>SUM(N16:N17)</f>
        <v/>
      </c>
      <c r="O16" s="848">
        <f>SUM(O16:O17)</f>
        <v/>
      </c>
      <c r="P16" s="848">
        <f>SUM(P16:P17)</f>
        <v/>
      </c>
      <c r="Q16" s="848">
        <f>SUM(Q16:Q17)</f>
        <v/>
      </c>
      <c r="R16" s="848">
        <f>SUM(R16:R17)</f>
        <v/>
      </c>
      <c r="S16" s="848">
        <f>SUM(G15:R15)</f>
        <v/>
      </c>
      <c r="T16" s="848">
        <f>SUM(T16:T17)</f>
        <v/>
      </c>
      <c r="U16" s="848">
        <f>SUM(U16:U17)</f>
        <v/>
      </c>
      <c r="V16" s="848">
        <f>SUM(V16:V17)</f>
        <v/>
      </c>
      <c r="W16" s="848">
        <f>SUM(W16:W17)</f>
        <v/>
      </c>
      <c r="X16" s="848">
        <f>SUM(X16:X17)</f>
        <v/>
      </c>
      <c r="Y16" s="848">
        <f>SUM(Y16:Y17)</f>
        <v/>
      </c>
      <c r="Z16" s="848">
        <f>SUM(Z16:Z17)</f>
        <v/>
      </c>
      <c r="AA16" s="848">
        <f>SUM(AA16:AA17)</f>
        <v/>
      </c>
      <c r="AB16" s="848">
        <f>SUM(AB16:AB17)</f>
        <v/>
      </c>
      <c r="AC16" s="848">
        <f>SUM(AC16:AC17)</f>
        <v/>
      </c>
      <c r="AD16" s="848">
        <f>SUM(AD16:AD17)</f>
        <v/>
      </c>
      <c r="AE16" s="848">
        <f>SUM(AE16:AE17)</f>
        <v/>
      </c>
      <c r="AF16" s="848">
        <f>SUM(T15:AE15)</f>
        <v/>
      </c>
      <c r="AG16" s="848">
        <f>SUM(AG16:AG17)</f>
        <v/>
      </c>
      <c r="AH16" s="848" t="n"/>
      <c r="AI16" s="848">
        <f>SUM(AI16:AI17)</f>
        <v/>
      </c>
      <c r="AJ16" s="853">
        <f>IF(AI15&lt;&gt;0,AI15/AH15,0)</f>
        <v/>
      </c>
      <c r="AK16" s="855">
        <f>AG15/$AG$36</f>
        <v/>
      </c>
      <c r="AL16" s="856">
        <f>AI15*1.19</f>
        <v/>
      </c>
      <c r="AM16" s="855" t="n"/>
      <c r="AN16" s="845" t="inlineStr">
        <is>
          <t xml:space="preserve">        22. Compras inventariables de proyectos</t>
        </is>
      </c>
    </row>
    <row r="17" ht="14" customFormat="1" customHeight="1" s="838">
      <c r="A17" s="850">
        <f>+A15</f>
        <v/>
      </c>
      <c r="B17" s="850">
        <f>+B15</f>
        <v/>
      </c>
      <c r="C17" s="850">
        <f>+E16</f>
        <v/>
      </c>
      <c r="D17" s="839" t="n"/>
      <c r="E17" s="839" t="inlineStr">
        <is>
          <t xml:space="preserve">            22.1. Compra de artefactos a inventario (electrodómesticos)</t>
        </is>
      </c>
      <c r="F17" s="851" t="n"/>
      <c r="G17" s="854" t="n"/>
      <c r="H17" s="854" t="n"/>
      <c r="I17" s="854" t="n"/>
      <c r="J17" s="854" t="n"/>
      <c r="K17" s="854" t="n"/>
      <c r="L17" s="854" t="n"/>
      <c r="M17" s="854" t="n"/>
      <c r="N17" s="854" t="n"/>
      <c r="O17" s="854" t="n"/>
      <c r="P17" s="854" t="n"/>
      <c r="Q17" s="854" t="n"/>
      <c r="R17" s="854" t="n"/>
      <c r="S17" s="851">
        <f>SUM(G16:R16)</f>
        <v/>
      </c>
      <c r="T17" s="854" t="n"/>
      <c r="U17" s="854" t="n"/>
      <c r="V17" s="854" t="n"/>
      <c r="W17" s="854" t="n"/>
      <c r="X17" s="854" t="n"/>
      <c r="Y17" s="854" t="n"/>
      <c r="Z17" s="854" t="n"/>
      <c r="AA17" s="854" t="n"/>
      <c r="AB17" s="854" t="n"/>
      <c r="AC17" s="854" t="n"/>
      <c r="AD17" s="854" t="n"/>
      <c r="AE17" s="854" t="n"/>
      <c r="AF17" s="851">
        <f>SUM(T16:AE16)</f>
        <v/>
      </c>
      <c r="AG17" s="851">
        <f>+SUM(S16,F16,AF16)</f>
        <v/>
      </c>
      <c r="AH17" s="851" t="n"/>
      <c r="AI17" s="851">
        <f>+AG16-AH16</f>
        <v/>
      </c>
      <c r="AJ17" s="852">
        <f>IF(AI16&lt;&gt;0,AI16/AH16,0)</f>
        <v/>
      </c>
      <c r="AK17" s="857" t="n"/>
      <c r="AL17" s="858" t="n"/>
      <c r="AM17" s="857" t="n"/>
      <c r="AN17" s="839" t="inlineStr">
        <is>
          <t xml:space="preserve">            22.1. Compra de artefactos a inventario (electrodómesticos)</t>
        </is>
      </c>
    </row>
    <row r="18" ht="14" customFormat="1" customHeight="1" s="844">
      <c r="A18" s="846">
        <f>+A16</f>
        <v/>
      </c>
      <c r="B18" s="846">
        <f>+B16</f>
        <v/>
      </c>
      <c r="C18" s="846">
        <f>+E17</f>
        <v/>
      </c>
      <c r="D18" s="845" t="n"/>
      <c r="E18" s="845" t="inlineStr">
        <is>
          <t xml:space="preserve">            22.2. Compra de repuestos a inventario (panel, batería, PCBA, lámpara)</t>
        </is>
      </c>
      <c r="F18" s="848" t="n"/>
      <c r="G18" s="849">
        <f>+'Flujo Neto'!H11</f>
        <v/>
      </c>
      <c r="H18" s="849">
        <f>+'Flujo Neto'!I11</f>
        <v/>
      </c>
      <c r="I18" s="849">
        <f>+'Flujo Neto'!J11</f>
        <v/>
      </c>
      <c r="J18" s="849">
        <f>+'Flujo Neto'!K11</f>
        <v/>
      </c>
      <c r="K18" s="849">
        <f>+'Flujo Neto'!L11</f>
        <v/>
      </c>
      <c r="L18" s="849">
        <f>+'Flujo Neto'!M11</f>
        <v/>
      </c>
      <c r="M18" s="849">
        <f>+'Flujo Neto'!N11</f>
        <v/>
      </c>
      <c r="N18" s="849">
        <f>+'Flujo Neto'!O11</f>
        <v/>
      </c>
      <c r="O18" s="849">
        <f>+'Flujo Neto'!P11</f>
        <v/>
      </c>
      <c r="P18" s="849">
        <f>+'Flujo Neto'!Q11</f>
        <v/>
      </c>
      <c r="Q18" s="849">
        <f>+'Flujo Neto'!R11</f>
        <v/>
      </c>
      <c r="R18" s="849">
        <f>+'Flujo Neto'!S11</f>
        <v/>
      </c>
      <c r="S18" s="848">
        <f>SUM(G17:R17)</f>
        <v/>
      </c>
      <c r="T18" s="849">
        <f>+'Flujo Neto'!V11</f>
        <v/>
      </c>
      <c r="U18" s="849">
        <f>+'Flujo Neto'!W11</f>
        <v/>
      </c>
      <c r="V18" s="849">
        <f>+'Flujo Neto'!X11</f>
        <v/>
      </c>
      <c r="W18" s="849">
        <f>+'Flujo Neto'!Y11</f>
        <v/>
      </c>
      <c r="X18" s="849">
        <f>+'Flujo Neto'!Z11</f>
        <v/>
      </c>
      <c r="Y18" s="849">
        <f>+'Flujo Neto'!AA11</f>
        <v/>
      </c>
      <c r="Z18" s="849">
        <f>+'Flujo Neto'!AB11</f>
        <v/>
      </c>
      <c r="AA18" s="849">
        <f>+'Flujo Neto'!AC11</f>
        <v/>
      </c>
      <c r="AB18" s="849">
        <f>+'Flujo Neto'!AD11</f>
        <v/>
      </c>
      <c r="AC18" s="849">
        <f>+'Flujo Neto'!AE11</f>
        <v/>
      </c>
      <c r="AD18" s="849">
        <f>+'Flujo Neto'!AF11</f>
        <v/>
      </c>
      <c r="AE18" s="849">
        <f>+'Flujo Neto'!AG11</f>
        <v/>
      </c>
      <c r="AF18" s="848">
        <f>SUM(T17:AE17)</f>
        <v/>
      </c>
      <c r="AG18" s="848">
        <f>+SUM(S17,F17,AF17)</f>
        <v/>
      </c>
      <c r="AH18" s="848" t="n"/>
      <c r="AI18" s="848">
        <f>+AG17-AH17</f>
        <v/>
      </c>
      <c r="AJ18" s="853">
        <f>IF(AI17&lt;&gt;0,AI17/AH17,0)</f>
        <v/>
      </c>
      <c r="AK18" s="855" t="n"/>
      <c r="AL18" s="856">
        <f>AI17*1.19</f>
        <v/>
      </c>
      <c r="AM18" s="855" t="n"/>
      <c r="AN18" s="845" t="inlineStr">
        <is>
          <t xml:space="preserve">            22.2. Compra de repuestos a inventario (panel, batería, PCBA, lámpara)</t>
        </is>
      </c>
    </row>
    <row r="19" ht="14" customFormat="1" customHeight="1" s="844">
      <c r="A19" s="850">
        <f>+A17</f>
        <v/>
      </c>
      <c r="B19" s="850">
        <f>+E18</f>
        <v/>
      </c>
      <c r="C19" s="850">
        <f>+E18</f>
        <v/>
      </c>
      <c r="D19" s="839" t="n"/>
      <c r="E19" s="839" t="inlineStr">
        <is>
          <t xml:space="preserve">        23. Compras no activables ni inventariables de proyectos</t>
        </is>
      </c>
      <c r="F19" s="851" t="n"/>
      <c r="G19" s="854">
        <f>+'Flujo Neto'!H16</f>
        <v/>
      </c>
      <c r="H19" s="854">
        <f>+'Flujo Neto'!I16</f>
        <v/>
      </c>
      <c r="I19" s="854">
        <f>+'Flujo Neto'!J16</f>
        <v/>
      </c>
      <c r="J19" s="854">
        <f>+'Flujo Neto'!K16</f>
        <v/>
      </c>
      <c r="K19" s="854">
        <f>+'Flujo Neto'!L16</f>
        <v/>
      </c>
      <c r="L19" s="854">
        <f>+'Flujo Neto'!M16</f>
        <v/>
      </c>
      <c r="M19" s="854">
        <f>+'Flujo Neto'!N16</f>
        <v/>
      </c>
      <c r="N19" s="854">
        <f>+'Flujo Neto'!O16</f>
        <v/>
      </c>
      <c r="O19" s="854">
        <f>+'Flujo Neto'!P16</f>
        <v/>
      </c>
      <c r="P19" s="854">
        <f>+'Flujo Neto'!Q16</f>
        <v/>
      </c>
      <c r="Q19" s="854">
        <f>+'Flujo Neto'!R16</f>
        <v/>
      </c>
      <c r="R19" s="854">
        <f>+'Flujo Neto'!S16</f>
        <v/>
      </c>
      <c r="S19" s="851">
        <f>SUM(G18:R18)</f>
        <v/>
      </c>
      <c r="T19" s="854">
        <f>+'Flujo Neto'!V16</f>
        <v/>
      </c>
      <c r="U19" s="854">
        <f>+'Flujo Neto'!W16</f>
        <v/>
      </c>
      <c r="V19" s="854">
        <f>+'Flujo Neto'!X16</f>
        <v/>
      </c>
      <c r="W19" s="854">
        <f>+'Flujo Neto'!Y16</f>
        <v/>
      </c>
      <c r="X19" s="854">
        <f>+'Flujo Neto'!Z16</f>
        <v/>
      </c>
      <c r="Y19" s="854">
        <f>+'Flujo Neto'!AA16</f>
        <v/>
      </c>
      <c r="Z19" s="854">
        <f>+'Flujo Neto'!AB16</f>
        <v/>
      </c>
      <c r="AA19" s="854">
        <f>+'Flujo Neto'!AC16</f>
        <v/>
      </c>
      <c r="AB19" s="854">
        <f>+'Flujo Neto'!AD16</f>
        <v/>
      </c>
      <c r="AC19" s="854">
        <f>+'Flujo Neto'!AE16</f>
        <v/>
      </c>
      <c r="AD19" s="854">
        <f>+'Flujo Neto'!AF16</f>
        <v/>
      </c>
      <c r="AE19" s="854">
        <f>+'Flujo Neto'!AG16</f>
        <v/>
      </c>
      <c r="AF19" s="851">
        <f>SUM(T18:AE18)</f>
        <v/>
      </c>
      <c r="AG19" s="851">
        <f>+SUM(S18,F18,AF18)</f>
        <v/>
      </c>
      <c r="AH19" s="851" t="n"/>
      <c r="AI19" s="851">
        <f>+AG18-AH18</f>
        <v/>
      </c>
      <c r="AJ19" s="852">
        <f>IF(AI18&lt;&gt;0,AI18/AH18,0)</f>
        <v/>
      </c>
      <c r="AK19" s="857">
        <f>AG18/$AG$36</f>
        <v/>
      </c>
      <c r="AL19" s="858">
        <f>AI18*1.19</f>
        <v/>
      </c>
      <c r="AM19" s="857" t="n"/>
      <c r="AN19" s="839" t="inlineStr">
        <is>
          <t xml:space="preserve">        23. Compras no activables ni inventariables de proyectos</t>
        </is>
      </c>
    </row>
    <row r="20" ht="14" customFormat="1" customHeight="1" s="844">
      <c r="A20" s="846">
        <f>+A18</f>
        <v/>
      </c>
      <c r="B20" s="846">
        <f>+E19</f>
        <v/>
      </c>
      <c r="C20" s="846">
        <f>+E19</f>
        <v/>
      </c>
      <c r="D20" s="845" t="n"/>
      <c r="E20" s="845" t="inlineStr">
        <is>
          <t xml:space="preserve">        24. Gastos de personal de proyectos</t>
        </is>
      </c>
      <c r="F20" s="848" t="n"/>
      <c r="G20" s="849">
        <f>+'Flujo Neto'!H20</f>
        <v/>
      </c>
      <c r="H20" s="849">
        <f>+'Flujo Neto'!I20</f>
        <v/>
      </c>
      <c r="I20" s="849">
        <f>+'Flujo Neto'!J20</f>
        <v/>
      </c>
      <c r="J20" s="849">
        <f>+'Flujo Neto'!K20</f>
        <v/>
      </c>
      <c r="K20" s="849">
        <f>+'Flujo Neto'!L20</f>
        <v/>
      </c>
      <c r="L20" s="849">
        <f>+'Flujo Neto'!M20</f>
        <v/>
      </c>
      <c r="M20" s="849">
        <f>+'Flujo Neto'!N20</f>
        <v/>
      </c>
      <c r="N20" s="849">
        <f>+'Flujo Neto'!O20</f>
        <v/>
      </c>
      <c r="O20" s="849">
        <f>+'Flujo Neto'!P20</f>
        <v/>
      </c>
      <c r="P20" s="849">
        <f>+'Flujo Neto'!Q20</f>
        <v/>
      </c>
      <c r="Q20" s="849">
        <f>+'Flujo Neto'!R20</f>
        <v/>
      </c>
      <c r="R20" s="849">
        <f>+'Flujo Neto'!S20</f>
        <v/>
      </c>
      <c r="S20" s="848">
        <f>SUM(G19:R19)</f>
        <v/>
      </c>
      <c r="T20" s="849">
        <f>+'Flujo Neto'!V20</f>
        <v/>
      </c>
      <c r="U20" s="849">
        <f>+'Flujo Neto'!W20</f>
        <v/>
      </c>
      <c r="V20" s="849">
        <f>+'Flujo Neto'!X20</f>
        <v/>
      </c>
      <c r="W20" s="849">
        <f>+'Flujo Neto'!Y20</f>
        <v/>
      </c>
      <c r="X20" s="849">
        <f>+'Flujo Neto'!Z20</f>
        <v/>
      </c>
      <c r="Y20" s="849">
        <f>+'Flujo Neto'!AA20</f>
        <v/>
      </c>
      <c r="Z20" s="849">
        <f>+'Flujo Neto'!AB20</f>
        <v/>
      </c>
      <c r="AA20" s="849">
        <f>+'Flujo Neto'!AC20</f>
        <v/>
      </c>
      <c r="AB20" s="849">
        <f>+'Flujo Neto'!AD20</f>
        <v/>
      </c>
      <c r="AC20" s="849">
        <f>+'Flujo Neto'!AE20</f>
        <v/>
      </c>
      <c r="AD20" s="849">
        <f>+'Flujo Neto'!AF20</f>
        <v/>
      </c>
      <c r="AE20" s="849">
        <f>+'Flujo Neto'!AG20</f>
        <v/>
      </c>
      <c r="AF20" s="848">
        <f>SUM(T19:AE19)</f>
        <v/>
      </c>
      <c r="AG20" s="848">
        <f>+SUM(S19,F19,AF19)</f>
        <v/>
      </c>
      <c r="AH20" s="848" t="n"/>
      <c r="AI20" s="848">
        <f>+AG19-AH19</f>
        <v/>
      </c>
      <c r="AJ20" s="853">
        <f>IF(AI19&lt;&gt;0,AI19/AH19,0)</f>
        <v/>
      </c>
      <c r="AK20" s="855">
        <f>AG19/$AG$36</f>
        <v/>
      </c>
      <c r="AL20" s="856">
        <f>AI19</f>
        <v/>
      </c>
      <c r="AM20" s="855" t="n"/>
      <c r="AN20" s="845" t="inlineStr">
        <is>
          <t xml:space="preserve">        24. Gastos de personal de proyectos</t>
        </is>
      </c>
    </row>
    <row r="21" ht="14" customFormat="1" customHeight="1" s="838">
      <c r="A21" s="850">
        <f>+A19</f>
        <v/>
      </c>
      <c r="B21" s="850">
        <f>+E20</f>
        <v/>
      </c>
      <c r="C21" s="850">
        <f>+E20</f>
        <v/>
      </c>
      <c r="D21" s="839" t="n"/>
      <c r="E21" s="839" t="inlineStr">
        <is>
          <t xml:space="preserve">        25. Gastos de proyectos</t>
        </is>
      </c>
      <c r="F21" s="851" t="n"/>
      <c r="G21" s="851">
        <f>SUM(G21:G35)</f>
        <v/>
      </c>
      <c r="H21" s="851">
        <f>SUM(H21:H35)</f>
        <v/>
      </c>
      <c r="I21" s="851">
        <f>SUM(I21:I35)</f>
        <v/>
      </c>
      <c r="J21" s="851">
        <f>SUM(J21:J35)</f>
        <v/>
      </c>
      <c r="K21" s="851">
        <f>SUM(K21:K35)</f>
        <v/>
      </c>
      <c r="L21" s="851">
        <f>SUM(L21:L35)</f>
        <v/>
      </c>
      <c r="M21" s="851">
        <f>SUM(M21:M35)</f>
        <v/>
      </c>
      <c r="N21" s="851">
        <f>SUM(N21:N35)</f>
        <v/>
      </c>
      <c r="O21" s="851">
        <f>SUM(O21:O35)</f>
        <v/>
      </c>
      <c r="P21" s="851">
        <f>SUM(P21:P35)</f>
        <v/>
      </c>
      <c r="Q21" s="851">
        <f>SUM(Q21:Q35)</f>
        <v/>
      </c>
      <c r="R21" s="851">
        <f>SUM(R21:R35)</f>
        <v/>
      </c>
      <c r="S21" s="851">
        <f>SUM(G20:R20)</f>
        <v/>
      </c>
      <c r="T21" s="851">
        <f>SUM(T21:T35)</f>
        <v/>
      </c>
      <c r="U21" s="851">
        <f>SUM(U21:U35)</f>
        <v/>
      </c>
      <c r="V21" s="851">
        <f>SUM(V21:V35)</f>
        <v/>
      </c>
      <c r="W21" s="851">
        <f>SUM(W21:W35)</f>
        <v/>
      </c>
      <c r="X21" s="851">
        <f>SUM(X21:X35)</f>
        <v/>
      </c>
      <c r="Y21" s="851">
        <f>SUM(Y21:Y35)</f>
        <v/>
      </c>
      <c r="Z21" s="851">
        <f>SUM(Z21:Z35)</f>
        <v/>
      </c>
      <c r="AA21" s="851">
        <f>SUM(AA21:AA35)</f>
        <v/>
      </c>
      <c r="AB21" s="851">
        <f>SUM(AB21:AB35)</f>
        <v/>
      </c>
      <c r="AC21" s="851">
        <f>SUM(AC21:AC35)</f>
        <v/>
      </c>
      <c r="AD21" s="851">
        <f>SUM(AD21:AD35)</f>
        <v/>
      </c>
      <c r="AE21" s="851">
        <f>SUM(AE21:AE35)</f>
        <v/>
      </c>
      <c r="AF21" s="851">
        <f>SUM(T20:AE20)</f>
        <v/>
      </c>
      <c r="AG21" s="851">
        <f>SUM(AG21:AG35)</f>
        <v/>
      </c>
      <c r="AH21" s="851" t="n"/>
      <c r="AI21" s="851">
        <f>SUM(AI21:AI35)</f>
        <v/>
      </c>
      <c r="AJ21" s="852">
        <f>IF(AI20&lt;&gt;0,AI20/AH20,0)</f>
        <v/>
      </c>
      <c r="AK21" s="857">
        <f>AG20/$AG$36</f>
        <v/>
      </c>
      <c r="AL21" s="858">
        <f>AI20*1.19</f>
        <v/>
      </c>
      <c r="AM21" s="857" t="n"/>
      <c r="AN21" s="839" t="inlineStr">
        <is>
          <t xml:space="preserve">        25. Gastos de proyectos</t>
        </is>
      </c>
    </row>
    <row r="22" ht="14" customFormat="1" customHeight="1" s="838">
      <c r="A22" s="846">
        <f>+A20</f>
        <v/>
      </c>
      <c r="B22" s="846">
        <f>+B20</f>
        <v/>
      </c>
      <c r="C22" s="846">
        <f>+E21</f>
        <v/>
      </c>
      <c r="D22" s="845" t="n"/>
      <c r="E22" s="845" t="inlineStr">
        <is>
          <t xml:space="preserve">            25.1. Alquiler de vehículos</t>
        </is>
      </c>
      <c r="F22" s="848" t="n"/>
      <c r="G22" s="849">
        <f>+'Flujo Neto'!H34+'Flujo Neto'!H38+'Flujo Neto'!H39+'Flujo Neto'!H40</f>
        <v/>
      </c>
      <c r="H22" s="849">
        <f>+'Flujo Neto'!I34+'Flujo Neto'!I38+'Flujo Neto'!I39+'Flujo Neto'!I40</f>
        <v/>
      </c>
      <c r="I22" s="849">
        <f>+'Flujo Neto'!J34+'Flujo Neto'!J38+'Flujo Neto'!J39+'Flujo Neto'!J40</f>
        <v/>
      </c>
      <c r="J22" s="849">
        <f>+'Flujo Neto'!K34+'Flujo Neto'!K38+'Flujo Neto'!K39+'Flujo Neto'!K40</f>
        <v/>
      </c>
      <c r="K22" s="849">
        <f>+'Flujo Neto'!L34+'Flujo Neto'!L38+'Flujo Neto'!L39+'Flujo Neto'!L40</f>
        <v/>
      </c>
      <c r="L22" s="849">
        <f>+'Flujo Neto'!M34+'Flujo Neto'!M38+'Flujo Neto'!M39+'Flujo Neto'!M40</f>
        <v/>
      </c>
      <c r="M22" s="849">
        <f>+'Flujo Neto'!N34+'Flujo Neto'!N38+'Flujo Neto'!N39+'Flujo Neto'!N40</f>
        <v/>
      </c>
      <c r="N22" s="849">
        <f>+'Flujo Neto'!O34+'Flujo Neto'!O38+'Flujo Neto'!O39+'Flujo Neto'!O40</f>
        <v/>
      </c>
      <c r="O22" s="849">
        <f>+'Flujo Neto'!P34+'Flujo Neto'!P38+'Flujo Neto'!P39+'Flujo Neto'!P40</f>
        <v/>
      </c>
      <c r="P22" s="849">
        <f>+'Flujo Neto'!Q34+'Flujo Neto'!Q38+'Flujo Neto'!Q39+'Flujo Neto'!Q40</f>
        <v/>
      </c>
      <c r="Q22" s="849">
        <f>+'Flujo Neto'!R34+'Flujo Neto'!R38+'Flujo Neto'!R39+'Flujo Neto'!R40</f>
        <v/>
      </c>
      <c r="R22" s="849">
        <f>+'Flujo Neto'!S34+'Flujo Neto'!S38+'Flujo Neto'!S39+'Flujo Neto'!S40</f>
        <v/>
      </c>
      <c r="S22" s="848">
        <f>SUM(G21:R21)</f>
        <v/>
      </c>
      <c r="T22" s="849">
        <f>+'Flujo Neto'!V34+'Flujo Neto'!V38+'Flujo Neto'!V39+'Flujo Neto'!V40</f>
        <v/>
      </c>
      <c r="U22" s="849">
        <f>+'Flujo Neto'!W34+'Flujo Neto'!W38+'Flujo Neto'!W39+'Flujo Neto'!W40</f>
        <v/>
      </c>
      <c r="V22" s="849">
        <f>+'Flujo Neto'!X34+'Flujo Neto'!X38+'Flujo Neto'!X39+'Flujo Neto'!X40</f>
        <v/>
      </c>
      <c r="W22" s="849">
        <f>+'Flujo Neto'!Y34+'Flujo Neto'!Y38+'Flujo Neto'!Y39+'Flujo Neto'!Y40</f>
        <v/>
      </c>
      <c r="X22" s="849">
        <f>+'Flujo Neto'!Z34+'Flujo Neto'!Z38+'Flujo Neto'!Z39+'Flujo Neto'!Z40</f>
        <v/>
      </c>
      <c r="Y22" s="849">
        <f>+'Flujo Neto'!AA34+'Flujo Neto'!AA38+'Flujo Neto'!AA39+'Flujo Neto'!AA40</f>
        <v/>
      </c>
      <c r="Z22" s="849">
        <f>+'Flujo Neto'!AB34+'Flujo Neto'!AB38+'Flujo Neto'!AB39+'Flujo Neto'!AB40</f>
        <v/>
      </c>
      <c r="AA22" s="849">
        <f>+'Flujo Neto'!AC34+'Flujo Neto'!AC38+'Flujo Neto'!AC39+'Flujo Neto'!AC40</f>
        <v/>
      </c>
      <c r="AB22" s="849">
        <f>+'Flujo Neto'!AD34+'Flujo Neto'!AD38+'Flujo Neto'!AD39+'Flujo Neto'!AD40</f>
        <v/>
      </c>
      <c r="AC22" s="849">
        <f>+'Flujo Neto'!AE34+'Flujo Neto'!AE38+'Flujo Neto'!AE39+'Flujo Neto'!AE40</f>
        <v/>
      </c>
      <c r="AD22" s="849">
        <f>+'Flujo Neto'!AF34+'Flujo Neto'!AF38+'Flujo Neto'!AF39+'Flujo Neto'!AF40</f>
        <v/>
      </c>
      <c r="AE22" s="849">
        <f>+'Flujo Neto'!AG34+'Flujo Neto'!AG38+'Flujo Neto'!AG39+'Flujo Neto'!AG40</f>
        <v/>
      </c>
      <c r="AF22" s="848">
        <f>SUM(T21:AE21)</f>
        <v/>
      </c>
      <c r="AG22" s="848">
        <f>+SUM(S21,F21,AF21)</f>
        <v/>
      </c>
      <c r="AH22" s="848" t="n"/>
      <c r="AI22" s="848">
        <f>+AG21-AH21</f>
        <v/>
      </c>
      <c r="AJ22" s="853">
        <f>IF(AI21&lt;&gt;0,AI21/AH21,0)</f>
        <v/>
      </c>
      <c r="AK22" s="855">
        <f>AG21/$AG$36</f>
        <v/>
      </c>
      <c r="AL22" s="856" t="n"/>
      <c r="AM22" s="855" t="n"/>
      <c r="AN22" s="845" t="inlineStr">
        <is>
          <t xml:space="preserve">            25.1. Alquiler de vehículos</t>
        </is>
      </c>
    </row>
    <row r="23" ht="14" customFormat="1" customHeight="1" s="838">
      <c r="A23" s="850">
        <f>+A21</f>
        <v/>
      </c>
      <c r="B23" s="850">
        <f>+B21</f>
        <v/>
      </c>
      <c r="C23" s="850">
        <f>+E22</f>
        <v/>
      </c>
      <c r="D23" s="839" t="n"/>
      <c r="E23" s="839" t="inlineStr">
        <is>
          <t xml:space="preserve">            25.2. Alquiler de oficinas</t>
        </is>
      </c>
      <c r="F23" s="851" t="n"/>
      <c r="G23" s="854" t="n"/>
      <c r="H23" s="854" t="n"/>
      <c r="I23" s="854" t="n"/>
      <c r="J23" s="854" t="n"/>
      <c r="K23" s="854" t="n"/>
      <c r="L23" s="854" t="n"/>
      <c r="M23" s="854" t="n"/>
      <c r="N23" s="854" t="n"/>
      <c r="O23" s="854" t="n"/>
      <c r="P23" s="854" t="n"/>
      <c r="Q23" s="854" t="n"/>
      <c r="R23" s="854" t="n"/>
      <c r="S23" s="851">
        <f>SUM(G22:R22)</f>
        <v/>
      </c>
      <c r="T23" s="854" t="n"/>
      <c r="U23" s="854" t="n"/>
      <c r="V23" s="854" t="n"/>
      <c r="W23" s="854" t="n"/>
      <c r="X23" s="854" t="n"/>
      <c r="Y23" s="854" t="n"/>
      <c r="Z23" s="854" t="n"/>
      <c r="AA23" s="854" t="n"/>
      <c r="AB23" s="854" t="n"/>
      <c r="AC23" s="854" t="n"/>
      <c r="AD23" s="854" t="n"/>
      <c r="AE23" s="854" t="n"/>
      <c r="AF23" s="851">
        <f>SUM(T22:AE22)</f>
        <v/>
      </c>
      <c r="AG23" s="851">
        <f>+SUM(S22,F22,AF22)</f>
        <v/>
      </c>
      <c r="AH23" s="851" t="n"/>
      <c r="AI23" s="851">
        <f>+AG22-AH22</f>
        <v/>
      </c>
      <c r="AJ23" s="852">
        <f>IF(AI22&lt;&gt;0,AI22/AH22,0)</f>
        <v/>
      </c>
      <c r="AK23" s="857">
        <f>AG22/$AG$36</f>
        <v/>
      </c>
      <c r="AL23" s="858" t="n"/>
      <c r="AM23" s="857" t="n"/>
      <c r="AN23" s="839" t="inlineStr">
        <is>
          <t xml:space="preserve">            25.2. Alquiler de oficinas</t>
        </is>
      </c>
    </row>
    <row r="24" ht="14" customFormat="1" customHeight="1" s="838">
      <c r="A24" s="846">
        <f>+A22</f>
        <v/>
      </c>
      <c r="B24" s="846">
        <f>+B22</f>
        <v/>
      </c>
      <c r="C24" s="846">
        <f>+E23</f>
        <v/>
      </c>
      <c r="D24" s="845" t="n"/>
      <c r="E24" s="845" t="inlineStr">
        <is>
          <t xml:space="preserve">            25.3. Alquiler otros</t>
        </is>
      </c>
      <c r="F24" s="848" t="n"/>
      <c r="G24" s="849">
        <f>+'Flujo Neto'!H37</f>
        <v/>
      </c>
      <c r="H24" s="849">
        <f>+'Flujo Neto'!I37</f>
        <v/>
      </c>
      <c r="I24" s="849">
        <f>+'Flujo Neto'!J37</f>
        <v/>
      </c>
      <c r="J24" s="849">
        <f>+'Flujo Neto'!K37</f>
        <v/>
      </c>
      <c r="K24" s="849">
        <f>+'Flujo Neto'!L37</f>
        <v/>
      </c>
      <c r="L24" s="849">
        <f>+'Flujo Neto'!M37</f>
        <v/>
      </c>
      <c r="M24" s="849">
        <f>+'Flujo Neto'!N37</f>
        <v/>
      </c>
      <c r="N24" s="849">
        <f>+'Flujo Neto'!O37</f>
        <v/>
      </c>
      <c r="O24" s="849">
        <f>+'Flujo Neto'!P37</f>
        <v/>
      </c>
      <c r="P24" s="849">
        <f>+'Flujo Neto'!Q37</f>
        <v/>
      </c>
      <c r="Q24" s="849">
        <f>+'Flujo Neto'!R37</f>
        <v/>
      </c>
      <c r="R24" s="849">
        <f>+'Flujo Neto'!S37</f>
        <v/>
      </c>
      <c r="S24" s="848">
        <f>SUM(G23:R23)</f>
        <v/>
      </c>
      <c r="T24" s="849">
        <f>+'Flujo Neto'!V37</f>
        <v/>
      </c>
      <c r="U24" s="849">
        <f>+'Flujo Neto'!W37</f>
        <v/>
      </c>
      <c r="V24" s="849">
        <f>+'Flujo Neto'!X37</f>
        <v/>
      </c>
      <c r="W24" s="849">
        <f>+'Flujo Neto'!Y37</f>
        <v/>
      </c>
      <c r="X24" s="849">
        <f>+'Flujo Neto'!Z37</f>
        <v/>
      </c>
      <c r="Y24" s="849">
        <f>+'Flujo Neto'!AA37</f>
        <v/>
      </c>
      <c r="Z24" s="849">
        <f>+'Flujo Neto'!AB37</f>
        <v/>
      </c>
      <c r="AA24" s="849">
        <f>+'Flujo Neto'!AC37</f>
        <v/>
      </c>
      <c r="AB24" s="849">
        <f>+'Flujo Neto'!AD37</f>
        <v/>
      </c>
      <c r="AC24" s="849">
        <f>+'Flujo Neto'!AE37</f>
        <v/>
      </c>
      <c r="AD24" s="849">
        <f>+'Flujo Neto'!AF37</f>
        <v/>
      </c>
      <c r="AE24" s="849">
        <f>+'Flujo Neto'!AG37</f>
        <v/>
      </c>
      <c r="AF24" s="848">
        <f>SUM(T23:AE23)</f>
        <v/>
      </c>
      <c r="AG24" s="848">
        <f>+SUM(S23,F23,AF23)</f>
        <v/>
      </c>
      <c r="AH24" s="848" t="n"/>
      <c r="AI24" s="848">
        <f>+AG23-AH23</f>
        <v/>
      </c>
      <c r="AJ24" s="853">
        <f>IF(AI23&lt;&gt;0,AI23/AH23,0)</f>
        <v/>
      </c>
      <c r="AK24" s="855">
        <f>AG23/$AG$36</f>
        <v/>
      </c>
      <c r="AL24" s="856" t="n"/>
      <c r="AM24" s="855" t="n"/>
      <c r="AN24" s="845" t="inlineStr">
        <is>
          <t xml:space="preserve">            25.3. Alquiler otros</t>
        </is>
      </c>
    </row>
    <row r="25" ht="14" customFormat="1" customHeight="1" s="838">
      <c r="A25" s="850">
        <f>+A23</f>
        <v/>
      </c>
      <c r="B25" s="850">
        <f>+B23</f>
        <v/>
      </c>
      <c r="C25" s="850">
        <f>+E24</f>
        <v/>
      </c>
      <c r="D25" s="839" t="n"/>
      <c r="E25" s="839" t="inlineStr">
        <is>
          <t xml:space="preserve">            25.4. Reparación y conservación otros</t>
        </is>
      </c>
      <c r="F25" s="851" t="n"/>
      <c r="G25" s="854" t="n"/>
      <c r="H25" s="854" t="n"/>
      <c r="I25" s="854" t="n"/>
      <c r="J25" s="854" t="n"/>
      <c r="K25" s="854" t="n"/>
      <c r="L25" s="854" t="n"/>
      <c r="M25" s="854" t="n"/>
      <c r="N25" s="854" t="n"/>
      <c r="O25" s="854" t="n"/>
      <c r="P25" s="854" t="n"/>
      <c r="Q25" s="854" t="n"/>
      <c r="R25" s="854" t="n"/>
      <c r="S25" s="851">
        <f>SUM(G24:R24)</f>
        <v/>
      </c>
      <c r="T25" s="854" t="n"/>
      <c r="U25" s="854" t="n"/>
      <c r="V25" s="854" t="n"/>
      <c r="W25" s="854" t="n"/>
      <c r="X25" s="854" t="n"/>
      <c r="Y25" s="854" t="n"/>
      <c r="Z25" s="854" t="n"/>
      <c r="AA25" s="854" t="n"/>
      <c r="AB25" s="854" t="n"/>
      <c r="AC25" s="854" t="n"/>
      <c r="AD25" s="854" t="n"/>
      <c r="AE25" s="854" t="n"/>
      <c r="AF25" s="851">
        <f>SUM(T24:AE24)</f>
        <v/>
      </c>
      <c r="AG25" s="851">
        <f>+SUM(S24,F24,AF24)</f>
        <v/>
      </c>
      <c r="AH25" s="851" t="n"/>
      <c r="AI25" s="851">
        <f>+AG24-AH24</f>
        <v/>
      </c>
      <c r="AJ25" s="852">
        <f>IF(AI24&lt;&gt;0,AI24/AH24,0)</f>
        <v/>
      </c>
      <c r="AK25" s="857">
        <f>AG24/$AG$36</f>
        <v/>
      </c>
      <c r="AL25" s="858" t="n"/>
      <c r="AM25" s="857" t="n"/>
      <c r="AN25" s="839" t="inlineStr">
        <is>
          <t xml:space="preserve">            25.4. Reparación y conservación otros</t>
        </is>
      </c>
    </row>
    <row r="26" ht="14" customFormat="1" customHeight="1" s="838">
      <c r="A26" s="846">
        <f>+A24</f>
        <v/>
      </c>
      <c r="B26" s="846">
        <f>+B24</f>
        <v/>
      </c>
      <c r="C26" s="846">
        <f>+E25</f>
        <v/>
      </c>
      <c r="D26" s="845" t="n"/>
      <c r="E26" s="845" t="inlineStr">
        <is>
          <t xml:space="preserve">            25.5. Servicios profesionales auditorías</t>
        </is>
      </c>
      <c r="F26" s="848" t="n"/>
      <c r="G26" s="849" t="n"/>
      <c r="H26" s="849" t="n"/>
      <c r="I26" s="849" t="n"/>
      <c r="J26" s="849" t="n"/>
      <c r="K26" s="849" t="n"/>
      <c r="L26" s="849" t="n"/>
      <c r="M26" s="849" t="n"/>
      <c r="N26" s="849" t="n"/>
      <c r="O26" s="849" t="n"/>
      <c r="P26" s="849" t="n"/>
      <c r="Q26" s="849" t="n"/>
      <c r="R26" s="849" t="n"/>
      <c r="S26" s="848">
        <f>SUM(G25:R25)</f>
        <v/>
      </c>
      <c r="T26" s="849" t="n"/>
      <c r="U26" s="849" t="n"/>
      <c r="V26" s="849" t="n"/>
      <c r="W26" s="849" t="n"/>
      <c r="X26" s="849" t="n"/>
      <c r="Y26" s="849" t="n"/>
      <c r="Z26" s="849" t="n"/>
      <c r="AA26" s="849" t="n"/>
      <c r="AB26" s="849" t="n"/>
      <c r="AC26" s="849" t="n"/>
      <c r="AD26" s="849" t="n"/>
      <c r="AE26" s="849" t="n"/>
      <c r="AF26" s="848">
        <f>SUM(T25:AE25)</f>
        <v/>
      </c>
      <c r="AG26" s="848">
        <f>+SUM(S25,F25,AF25)</f>
        <v/>
      </c>
      <c r="AH26" s="848" t="n"/>
      <c r="AI26" s="848">
        <f>+AG25-AH25</f>
        <v/>
      </c>
      <c r="AJ26" s="853">
        <f>IF(AI25&lt;&gt;0,AI25/AH25,0)</f>
        <v/>
      </c>
      <c r="AK26" s="855">
        <f>AG25/$AG$36</f>
        <v/>
      </c>
      <c r="AL26" s="856" t="n"/>
      <c r="AM26" s="855" t="n"/>
      <c r="AN26" s="845" t="inlineStr">
        <is>
          <t xml:space="preserve">            25.5. Servicios profesionales auditorías</t>
        </is>
      </c>
    </row>
    <row r="27" ht="14" customFormat="1" customHeight="1" s="838">
      <c r="A27" s="850">
        <f>+A25</f>
        <v/>
      </c>
      <c r="B27" s="850">
        <f>+B25</f>
        <v/>
      </c>
      <c r="C27" s="850">
        <f>+E26</f>
        <v/>
      </c>
      <c r="D27" s="839" t="n"/>
      <c r="E27" s="839" t="inlineStr">
        <is>
          <t xml:space="preserve">            25.6. Servicios profesionales otros</t>
        </is>
      </c>
      <c r="F27" s="851" t="n"/>
      <c r="G27" s="854">
        <f>+'Flujo Neto'!H23</f>
        <v/>
      </c>
      <c r="H27" s="854">
        <f>+'Flujo Neto'!I23</f>
        <v/>
      </c>
      <c r="I27" s="854">
        <f>+'Flujo Neto'!J23</f>
        <v/>
      </c>
      <c r="J27" s="854">
        <f>+'Flujo Neto'!K23</f>
        <v/>
      </c>
      <c r="K27" s="854">
        <f>+'Flujo Neto'!L23</f>
        <v/>
      </c>
      <c r="L27" s="854">
        <f>+'Flujo Neto'!M23</f>
        <v/>
      </c>
      <c r="M27" s="854">
        <f>+'Flujo Neto'!N23</f>
        <v/>
      </c>
      <c r="N27" s="854">
        <f>+'Flujo Neto'!O23</f>
        <v/>
      </c>
      <c r="O27" s="854">
        <f>+'Flujo Neto'!P23</f>
        <v/>
      </c>
      <c r="P27" s="854">
        <f>+'Flujo Neto'!Q23</f>
        <v/>
      </c>
      <c r="Q27" s="854">
        <f>+'Flujo Neto'!R23</f>
        <v/>
      </c>
      <c r="R27" s="854">
        <f>+'Flujo Neto'!S23</f>
        <v/>
      </c>
      <c r="S27" s="851">
        <f>SUM(G26:R26)</f>
        <v/>
      </c>
      <c r="T27" s="854">
        <f>+'Flujo Neto'!V23</f>
        <v/>
      </c>
      <c r="U27" s="854">
        <f>+'Flujo Neto'!W23</f>
        <v/>
      </c>
      <c r="V27" s="854">
        <f>+'Flujo Neto'!X23</f>
        <v/>
      </c>
      <c r="W27" s="854">
        <f>+'Flujo Neto'!Y23</f>
        <v/>
      </c>
      <c r="X27" s="854">
        <f>+'Flujo Neto'!Z23</f>
        <v/>
      </c>
      <c r="Y27" s="854">
        <f>+'Flujo Neto'!AA23</f>
        <v/>
      </c>
      <c r="Z27" s="854">
        <f>+'Flujo Neto'!AB23</f>
        <v/>
      </c>
      <c r="AA27" s="854">
        <f>+'Flujo Neto'!AC23</f>
        <v/>
      </c>
      <c r="AB27" s="854">
        <f>+'Flujo Neto'!AD23</f>
        <v/>
      </c>
      <c r="AC27" s="854">
        <f>+'Flujo Neto'!AE23</f>
        <v/>
      </c>
      <c r="AD27" s="854">
        <f>+'Flujo Neto'!AF23</f>
        <v/>
      </c>
      <c r="AE27" s="854">
        <f>+'Flujo Neto'!AG23</f>
        <v/>
      </c>
      <c r="AF27" s="851">
        <f>SUM(T26:AE26)</f>
        <v/>
      </c>
      <c r="AG27" s="851">
        <f>+SUM(S26,F26,AF26)</f>
        <v/>
      </c>
      <c r="AH27" s="851" t="n"/>
      <c r="AI27" s="851">
        <f>+AG26-AH26</f>
        <v/>
      </c>
      <c r="AJ27" s="852">
        <f>IF(AI26&lt;&gt;0,AI26/AH26,0)</f>
        <v/>
      </c>
      <c r="AK27" s="857">
        <f>AG26/$AG$36</f>
        <v/>
      </c>
      <c r="AL27" s="858" t="n"/>
      <c r="AM27" s="857" t="n"/>
      <c r="AN27" s="839" t="inlineStr">
        <is>
          <t xml:space="preserve">            25.6. Servicios profesionales otros</t>
        </is>
      </c>
    </row>
    <row r="28" ht="14" customFormat="1" customHeight="1" s="838">
      <c r="A28" s="846">
        <f>+A26</f>
        <v/>
      </c>
      <c r="B28" s="846">
        <f>+B26</f>
        <v/>
      </c>
      <c r="C28" s="846">
        <f>+E27</f>
        <v/>
      </c>
      <c r="D28" s="845" t="n"/>
      <c r="E28" s="845" t="inlineStr">
        <is>
          <t xml:space="preserve">            25.7. Correo, mensajería, coste transporte equipos</t>
        </is>
      </c>
      <c r="F28" s="848" t="n"/>
      <c r="G28" s="849">
        <f>+'Flujo Neto'!H12+SUM('Flujo Neto'!H42:H48)</f>
        <v/>
      </c>
      <c r="H28" s="849">
        <f>+'Flujo Neto'!I12+SUM('Flujo Neto'!I42:I48)</f>
        <v/>
      </c>
      <c r="I28" s="849">
        <f>+'Flujo Neto'!J12+SUM('Flujo Neto'!J42:J48)</f>
        <v/>
      </c>
      <c r="J28" s="849">
        <f>+'Flujo Neto'!K12+SUM('Flujo Neto'!K42:K48)</f>
        <v/>
      </c>
      <c r="K28" s="849">
        <f>+'Flujo Neto'!L12+SUM('Flujo Neto'!L42:L48)</f>
        <v/>
      </c>
      <c r="L28" s="849">
        <f>+'Flujo Neto'!M12+SUM('Flujo Neto'!M42:M48)</f>
        <v/>
      </c>
      <c r="M28" s="849">
        <f>+'Flujo Neto'!N12+SUM('Flujo Neto'!N42:N48)</f>
        <v/>
      </c>
      <c r="N28" s="849">
        <f>+'Flujo Neto'!O12+SUM('Flujo Neto'!O42:O48)</f>
        <v/>
      </c>
      <c r="O28" s="849">
        <f>+'Flujo Neto'!P12+SUM('Flujo Neto'!P42:P48)</f>
        <v/>
      </c>
      <c r="P28" s="849">
        <f>+'Flujo Neto'!Q12+SUM('Flujo Neto'!Q42:Q48)</f>
        <v/>
      </c>
      <c r="Q28" s="849">
        <f>+'Flujo Neto'!R12+SUM('Flujo Neto'!R42:R48)</f>
        <v/>
      </c>
      <c r="R28" s="849">
        <f>+'Flujo Neto'!S12+SUM('Flujo Neto'!S42:S48)</f>
        <v/>
      </c>
      <c r="S28" s="848">
        <f>SUM(G27:R27)</f>
        <v/>
      </c>
      <c r="T28" s="849">
        <f>+'Flujo Neto'!V12+SUM('Flujo Neto'!V42:V48)</f>
        <v/>
      </c>
      <c r="U28" s="849">
        <f>+'Flujo Neto'!W12+SUM('Flujo Neto'!W42:W48)</f>
        <v/>
      </c>
      <c r="V28" s="849">
        <f>+'Flujo Neto'!X12+SUM('Flujo Neto'!X42:X48)</f>
        <v/>
      </c>
      <c r="W28" s="849">
        <f>+'Flujo Neto'!Y12+SUM('Flujo Neto'!Y42:Y48)</f>
        <v/>
      </c>
      <c r="X28" s="849">
        <f>+'Flujo Neto'!Z12+SUM('Flujo Neto'!Z42:Z48)</f>
        <v/>
      </c>
      <c r="Y28" s="849">
        <f>+'Flujo Neto'!AA12+SUM('Flujo Neto'!AA42:AA48)</f>
        <v/>
      </c>
      <c r="Z28" s="849">
        <f>+'Flujo Neto'!AB12+SUM('Flujo Neto'!AB42:AB48)</f>
        <v/>
      </c>
      <c r="AA28" s="849">
        <f>+'Flujo Neto'!AC12+SUM('Flujo Neto'!AC42:AC48)</f>
        <v/>
      </c>
      <c r="AB28" s="849">
        <f>+'Flujo Neto'!AD12+SUM('Flujo Neto'!AD42:AD48)</f>
        <v/>
      </c>
      <c r="AC28" s="849">
        <f>+'Flujo Neto'!AE12+SUM('Flujo Neto'!AE42:AE48)</f>
        <v/>
      </c>
      <c r="AD28" s="849">
        <f>+'Flujo Neto'!AF12+SUM('Flujo Neto'!AF42:AF48)</f>
        <v/>
      </c>
      <c r="AE28" s="849">
        <f>+'Flujo Neto'!AG12+SUM('Flujo Neto'!AG42:AG48)</f>
        <v/>
      </c>
      <c r="AF28" s="848">
        <f>SUM(T27:AE27)</f>
        <v/>
      </c>
      <c r="AG28" s="848">
        <f>+SUM(S27,F27,AF27)</f>
        <v/>
      </c>
      <c r="AH28" s="848" t="n"/>
      <c r="AI28" s="848">
        <f>+AG27-AH27</f>
        <v/>
      </c>
      <c r="AJ28" s="853">
        <f>IF(AI27&lt;&gt;0,AI27/AH27,0)</f>
        <v/>
      </c>
      <c r="AK28" s="855">
        <f>AG27/$AG$36</f>
        <v/>
      </c>
      <c r="AL28" s="856" t="n"/>
      <c r="AM28" s="855" t="n"/>
      <c r="AN28" s="845" t="inlineStr">
        <is>
          <t xml:space="preserve">            25.7. Correo, mensajería, coste transporte equipos</t>
        </is>
      </c>
    </row>
    <row r="29" ht="14" customFormat="1" customHeight="1" s="838">
      <c r="A29" s="850">
        <f>+A27</f>
        <v/>
      </c>
      <c r="B29" s="850">
        <f>+B27</f>
        <v/>
      </c>
      <c r="C29" s="850">
        <f>+E28</f>
        <v/>
      </c>
      <c r="D29" s="839" t="n"/>
      <c r="E29" s="839" t="inlineStr">
        <is>
          <t xml:space="preserve">            25.8. Seguros</t>
        </is>
      </c>
      <c r="F29" s="851" t="n"/>
      <c r="G29" s="854" t="n"/>
      <c r="H29" s="854" t="n"/>
      <c r="I29" s="854" t="n"/>
      <c r="J29" s="854" t="n"/>
      <c r="K29" s="854" t="n"/>
      <c r="L29" s="854" t="n"/>
      <c r="M29" s="854" t="n"/>
      <c r="N29" s="854" t="n"/>
      <c r="O29" s="854" t="n"/>
      <c r="P29" s="854" t="n"/>
      <c r="Q29" s="854" t="n"/>
      <c r="R29" s="854" t="n"/>
      <c r="S29" s="851">
        <f>SUM(G28:R28)</f>
        <v/>
      </c>
      <c r="T29" s="854" t="n"/>
      <c r="U29" s="854" t="n"/>
      <c r="V29" s="854" t="n"/>
      <c r="W29" s="854" t="n"/>
      <c r="X29" s="854" t="n"/>
      <c r="Y29" s="854" t="n"/>
      <c r="Z29" s="854" t="n"/>
      <c r="AA29" s="854" t="n"/>
      <c r="AB29" s="854" t="n"/>
      <c r="AC29" s="854" t="n"/>
      <c r="AD29" s="854" t="n"/>
      <c r="AE29" s="854" t="n"/>
      <c r="AF29" s="851">
        <f>SUM(T28:AE28)</f>
        <v/>
      </c>
      <c r="AG29" s="851">
        <f>+SUM(S28,F28,AF28)</f>
        <v/>
      </c>
      <c r="AH29" s="851" t="n"/>
      <c r="AI29" s="851">
        <f>+AG28-AH28</f>
        <v/>
      </c>
      <c r="AJ29" s="852">
        <f>IF(AI28&lt;&gt;0,AI28/AH28,0)</f>
        <v/>
      </c>
      <c r="AK29" s="857">
        <f>AG28/$AG$36</f>
        <v/>
      </c>
      <c r="AL29" s="858" t="n"/>
      <c r="AM29" s="857" t="n"/>
      <c r="AN29" s="839" t="inlineStr">
        <is>
          <t xml:space="preserve">            25.8. Seguros</t>
        </is>
      </c>
    </row>
    <row r="30" ht="14" customFormat="1" customHeight="1" s="838">
      <c r="A30" s="846">
        <f>+A28</f>
        <v/>
      </c>
      <c r="B30" s="846">
        <f>+B28</f>
        <v/>
      </c>
      <c r="C30" s="846">
        <f>+E29</f>
        <v/>
      </c>
      <c r="D30" s="845" t="n"/>
      <c r="E30" s="845" t="inlineStr">
        <is>
          <t xml:space="preserve">            25.9. Gastos y comisiones bancarias</t>
        </is>
      </c>
      <c r="F30" s="848" t="n"/>
      <c r="G30" s="849" t="n"/>
      <c r="H30" s="849" t="n"/>
      <c r="I30" s="849" t="n"/>
      <c r="J30" s="849" t="n"/>
      <c r="K30" s="849" t="n"/>
      <c r="L30" s="849" t="n"/>
      <c r="M30" s="849" t="n"/>
      <c r="N30" s="849" t="n"/>
      <c r="O30" s="849" t="n"/>
      <c r="P30" s="849" t="n"/>
      <c r="Q30" s="849" t="n"/>
      <c r="R30" s="849" t="n"/>
      <c r="S30" s="848">
        <f>SUM(G29:R29)</f>
        <v/>
      </c>
      <c r="T30" s="849" t="n"/>
      <c r="U30" s="849" t="n"/>
      <c r="V30" s="849" t="n"/>
      <c r="W30" s="849" t="n"/>
      <c r="X30" s="849" t="n"/>
      <c r="Y30" s="849" t="n"/>
      <c r="Z30" s="849" t="n"/>
      <c r="AA30" s="849" t="n"/>
      <c r="AB30" s="849" t="n"/>
      <c r="AC30" s="849" t="n"/>
      <c r="AD30" s="849" t="n"/>
      <c r="AE30" s="849" t="n"/>
      <c r="AF30" s="848">
        <f>SUM(T29:AE29)</f>
        <v/>
      </c>
      <c r="AG30" s="848">
        <f>+SUM(S29,F29,AF29)</f>
        <v/>
      </c>
      <c r="AH30" s="848" t="n"/>
      <c r="AI30" s="848">
        <f>+AG29-AH29</f>
        <v/>
      </c>
      <c r="AJ30" s="853">
        <f>IF(AI29&lt;&gt;0,AI29/AH29,0)</f>
        <v/>
      </c>
      <c r="AK30" s="855">
        <f>AG29/$AG$36</f>
        <v/>
      </c>
      <c r="AL30" s="856" t="n"/>
      <c r="AM30" s="855" t="n"/>
      <c r="AN30" s="845" t="inlineStr">
        <is>
          <t xml:space="preserve">            25.9. Gastos y comisiones bancarias</t>
        </is>
      </c>
    </row>
    <row r="31" ht="14" customFormat="1" customHeight="1" s="838">
      <c r="A31" s="850">
        <f>+A29</f>
        <v/>
      </c>
      <c r="B31" s="850">
        <f>+B29</f>
        <v/>
      </c>
      <c r="C31" s="850">
        <f>+E30</f>
        <v/>
      </c>
      <c r="D31" s="839" t="n"/>
      <c r="E31" s="839" t="inlineStr">
        <is>
          <t xml:space="preserve">            25.10. Publicidad</t>
        </is>
      </c>
      <c r="F31" s="851" t="n"/>
      <c r="G31" s="854" t="n"/>
      <c r="H31" s="854" t="n"/>
      <c r="I31" s="854" t="n"/>
      <c r="J31" s="854" t="n"/>
      <c r="K31" s="854" t="n"/>
      <c r="L31" s="854" t="n"/>
      <c r="M31" s="854" t="n"/>
      <c r="N31" s="854" t="n"/>
      <c r="O31" s="854" t="n"/>
      <c r="P31" s="854" t="n"/>
      <c r="Q31" s="854" t="n"/>
      <c r="R31" s="854" t="n"/>
      <c r="S31" s="851">
        <f>SUM(G30:R30)</f>
        <v/>
      </c>
      <c r="T31" s="854" t="n"/>
      <c r="U31" s="854" t="n"/>
      <c r="V31" s="854" t="n"/>
      <c r="W31" s="854" t="n"/>
      <c r="X31" s="854" t="n"/>
      <c r="Y31" s="854" t="n"/>
      <c r="Z31" s="854" t="n"/>
      <c r="AA31" s="854" t="n"/>
      <c r="AB31" s="854" t="n"/>
      <c r="AC31" s="854" t="n"/>
      <c r="AD31" s="854" t="n"/>
      <c r="AE31" s="854" t="n"/>
      <c r="AF31" s="851">
        <f>SUM(T30:AE30)</f>
        <v/>
      </c>
      <c r="AG31" s="851">
        <f>+SUM(S30,F30,AF30)</f>
        <v/>
      </c>
      <c r="AH31" s="851" t="n"/>
      <c r="AI31" s="851">
        <f>+AG30-AH30</f>
        <v/>
      </c>
      <c r="AJ31" s="852">
        <f>IF(AI30&lt;&gt;0,AI30/AH30,0)</f>
        <v/>
      </c>
      <c r="AK31" s="857">
        <f>AG30/$AG$36</f>
        <v/>
      </c>
      <c r="AL31" s="858" t="n"/>
      <c r="AM31" s="857" t="n"/>
      <c r="AN31" s="839" t="inlineStr">
        <is>
          <t xml:space="preserve">            25.10. Publicidad</t>
        </is>
      </c>
    </row>
    <row r="32" ht="14" customFormat="1" customHeight="1" s="838">
      <c r="A32" s="846">
        <f>+A30</f>
        <v/>
      </c>
      <c r="B32" s="846">
        <f>+B30</f>
        <v/>
      </c>
      <c r="C32" s="846">
        <f>+E31</f>
        <v/>
      </c>
      <c r="D32" s="845" t="n"/>
      <c r="E32" s="845" t="inlineStr">
        <is>
          <t xml:space="preserve">            25.11. Suministro de combustible para vehículos</t>
        </is>
      </c>
      <c r="F32" s="848" t="n"/>
      <c r="G32" s="849">
        <f>+'Flujo Neto'!H53+'Flujo Neto'!H54+'Flujo Neto'!H60+'Flujo Neto'!H61</f>
        <v/>
      </c>
      <c r="H32" s="849">
        <f>+'Flujo Neto'!I53+'Flujo Neto'!I54+'Flujo Neto'!I60+'Flujo Neto'!I61</f>
        <v/>
      </c>
      <c r="I32" s="849">
        <f>+'Flujo Neto'!J53+'Flujo Neto'!J54+'Flujo Neto'!J60+'Flujo Neto'!J61</f>
        <v/>
      </c>
      <c r="J32" s="849">
        <f>+'Flujo Neto'!K53+'Flujo Neto'!K54+'Flujo Neto'!K60+'Flujo Neto'!K61</f>
        <v/>
      </c>
      <c r="K32" s="849">
        <f>+'Flujo Neto'!L53+'Flujo Neto'!L54+'Flujo Neto'!L60+'Flujo Neto'!L61</f>
        <v/>
      </c>
      <c r="L32" s="849">
        <f>+'Flujo Neto'!M53+'Flujo Neto'!M54+'Flujo Neto'!M60+'Flujo Neto'!M61</f>
        <v/>
      </c>
      <c r="M32" s="849">
        <f>+'Flujo Neto'!N53+'Flujo Neto'!N54+'Flujo Neto'!N60+'Flujo Neto'!N61</f>
        <v/>
      </c>
      <c r="N32" s="849">
        <f>+'Flujo Neto'!O53+'Flujo Neto'!O54+'Flujo Neto'!O60+'Flujo Neto'!O61</f>
        <v/>
      </c>
      <c r="O32" s="849">
        <f>+'Flujo Neto'!P53+'Flujo Neto'!P54+'Flujo Neto'!P60+'Flujo Neto'!P61</f>
        <v/>
      </c>
      <c r="P32" s="849">
        <f>+'Flujo Neto'!Q53+'Flujo Neto'!Q54+'Flujo Neto'!Q60+'Flujo Neto'!Q61</f>
        <v/>
      </c>
      <c r="Q32" s="849">
        <f>+'Flujo Neto'!R53+'Flujo Neto'!R54+'Flujo Neto'!R60+'Flujo Neto'!R61</f>
        <v/>
      </c>
      <c r="R32" s="849">
        <f>+'Flujo Neto'!S53+'Flujo Neto'!S54+'Flujo Neto'!S60+'Flujo Neto'!S61</f>
        <v/>
      </c>
      <c r="S32" s="848">
        <f>SUM(G31:R31)</f>
        <v/>
      </c>
      <c r="T32" s="849">
        <f>+'Flujo Neto'!V53+'Flujo Neto'!V54+'Flujo Neto'!V60+'Flujo Neto'!V61</f>
        <v/>
      </c>
      <c r="U32" s="849">
        <f>+'Flujo Neto'!W53+'Flujo Neto'!W54+'Flujo Neto'!W60+'Flujo Neto'!W61</f>
        <v/>
      </c>
      <c r="V32" s="849">
        <f>+'Flujo Neto'!X53+'Flujo Neto'!X54+'Flujo Neto'!X60+'Flujo Neto'!X61</f>
        <v/>
      </c>
      <c r="W32" s="849">
        <f>+'Flujo Neto'!Y53+'Flujo Neto'!Y54+'Flujo Neto'!Y60+'Flujo Neto'!Y61</f>
        <v/>
      </c>
      <c r="X32" s="849">
        <f>+'Flujo Neto'!Z53+'Flujo Neto'!Z54+'Flujo Neto'!Z60+'Flujo Neto'!Z61</f>
        <v/>
      </c>
      <c r="Y32" s="849">
        <f>+'Flujo Neto'!AA53+'Flujo Neto'!AA54+'Flujo Neto'!AA60+'Flujo Neto'!AA61</f>
        <v/>
      </c>
      <c r="Z32" s="849">
        <f>+'Flujo Neto'!AB53+'Flujo Neto'!AB54+'Flujo Neto'!AB60+'Flujo Neto'!AB61</f>
        <v/>
      </c>
      <c r="AA32" s="849">
        <f>+'Flujo Neto'!AC53+'Flujo Neto'!AC54+'Flujo Neto'!AC60+'Flujo Neto'!AC61</f>
        <v/>
      </c>
      <c r="AB32" s="849">
        <f>+'Flujo Neto'!AD53+'Flujo Neto'!AD54+'Flujo Neto'!AD60+'Flujo Neto'!AD61</f>
        <v/>
      </c>
      <c r="AC32" s="849">
        <f>+'Flujo Neto'!AE53+'Flujo Neto'!AE54+'Flujo Neto'!AE60+'Flujo Neto'!AE61</f>
        <v/>
      </c>
      <c r="AD32" s="849">
        <f>+'Flujo Neto'!AF53+'Flujo Neto'!AF54+'Flujo Neto'!AF60+'Flujo Neto'!AF61</f>
        <v/>
      </c>
      <c r="AE32" s="849">
        <f>+'Flujo Neto'!AG53+'Flujo Neto'!AG54+'Flujo Neto'!AG60+'Flujo Neto'!AG61</f>
        <v/>
      </c>
      <c r="AF32" s="848">
        <f>SUM(T31:AE31)</f>
        <v/>
      </c>
      <c r="AG32" s="848">
        <f>+SUM(S31,F31,AF31)</f>
        <v/>
      </c>
      <c r="AH32" s="848" t="n"/>
      <c r="AI32" s="848">
        <f>+AG31-AH31</f>
        <v/>
      </c>
      <c r="AJ32" s="853">
        <f>IF(AI31&lt;&gt;0,AI31/AH31,0)</f>
        <v/>
      </c>
      <c r="AK32" s="855">
        <f>AG31/$AG$36</f>
        <v/>
      </c>
      <c r="AL32" s="856" t="n"/>
      <c r="AM32" s="855" t="n"/>
      <c r="AN32" s="845" t="inlineStr">
        <is>
          <t xml:space="preserve">            25.11. Suministro de combustible para vehículos</t>
        </is>
      </c>
    </row>
    <row r="33" ht="14" customFormat="1" customHeight="1" s="838">
      <c r="A33" s="850">
        <f>+A31</f>
        <v/>
      </c>
      <c r="B33" s="850">
        <f>+B31</f>
        <v/>
      </c>
      <c r="C33" s="850">
        <f>+E32</f>
        <v/>
      </c>
      <c r="D33" s="839" t="n"/>
      <c r="E33" s="839" t="inlineStr">
        <is>
          <t xml:space="preserve">            25.12. Suministro otros</t>
        </is>
      </c>
      <c r="F33" s="851" t="n"/>
      <c r="G33" s="854" t="n"/>
      <c r="H33" s="854" t="n"/>
      <c r="I33" s="854" t="n"/>
      <c r="J33" s="854" t="n"/>
      <c r="K33" s="854" t="n"/>
      <c r="L33" s="854" t="n"/>
      <c r="M33" s="854" t="n"/>
      <c r="N33" s="854" t="n"/>
      <c r="O33" s="854" t="n"/>
      <c r="P33" s="854" t="n"/>
      <c r="Q33" s="854" t="n"/>
      <c r="R33" s="854" t="n"/>
      <c r="S33" s="851">
        <f>SUM(G32:R32)</f>
        <v/>
      </c>
      <c r="T33" s="854" t="n"/>
      <c r="U33" s="854" t="n"/>
      <c r="V33" s="854" t="n"/>
      <c r="W33" s="854" t="n"/>
      <c r="X33" s="854" t="n"/>
      <c r="Y33" s="854" t="n"/>
      <c r="Z33" s="854" t="n"/>
      <c r="AA33" s="854" t="n"/>
      <c r="AB33" s="854" t="n"/>
      <c r="AC33" s="854" t="n"/>
      <c r="AD33" s="854" t="n"/>
      <c r="AE33" s="854" t="n"/>
      <c r="AF33" s="851">
        <f>SUM(T32:AE32)</f>
        <v/>
      </c>
      <c r="AG33" s="851">
        <f>+SUM(S32,F32,AF32)</f>
        <v/>
      </c>
      <c r="AH33" s="851" t="n"/>
      <c r="AI33" s="851">
        <f>+AG32-AH32</f>
        <v/>
      </c>
      <c r="AJ33" s="852">
        <f>IF(AI32&lt;&gt;0,AI32/AH32,0)</f>
        <v/>
      </c>
      <c r="AK33" s="857">
        <f>AG32/$AG$36</f>
        <v/>
      </c>
      <c r="AL33" s="858" t="n"/>
      <c r="AM33" s="857" t="n"/>
      <c r="AN33" s="839" t="inlineStr">
        <is>
          <t xml:space="preserve">            25.12. Suministro otros</t>
        </is>
      </c>
    </row>
    <row r="34" ht="14" customFormat="1" customHeight="1" s="838">
      <c r="A34" s="846">
        <f>+A32</f>
        <v/>
      </c>
      <c r="B34" s="846">
        <f>+B32</f>
        <v/>
      </c>
      <c r="C34" s="846">
        <f>+E33</f>
        <v/>
      </c>
      <c r="D34" s="845" t="n"/>
      <c r="E34" s="845" t="inlineStr">
        <is>
          <t xml:space="preserve">            25.13. Viajes (billetes, vuelos, hoteles, otros)</t>
        </is>
      </c>
      <c r="F34" s="848" t="n"/>
      <c r="G34" s="849">
        <f>+'Flujo Neto'!H50+'Flujo Neto'!H51+'Flujo Neto'!H52+'Flujo Neto'!H55+'Flujo Neto'!H57+'Flujo Neto'!H58+'Flujo Neto'!H59+'Flujo Neto'!H62</f>
        <v/>
      </c>
      <c r="H34" s="849">
        <f>+'Flujo Neto'!I50+'Flujo Neto'!I51+'Flujo Neto'!I52+'Flujo Neto'!I55+'Flujo Neto'!I57+'Flujo Neto'!I58+'Flujo Neto'!I59+'Flujo Neto'!I62</f>
        <v/>
      </c>
      <c r="I34" s="849">
        <f>+'Flujo Neto'!J50+'Flujo Neto'!J51+'Flujo Neto'!J52+'Flujo Neto'!J55+'Flujo Neto'!J57+'Flujo Neto'!J58+'Flujo Neto'!J59+'Flujo Neto'!J62</f>
        <v/>
      </c>
      <c r="J34" s="849">
        <f>+'Flujo Neto'!K50+'Flujo Neto'!K51+'Flujo Neto'!K52+'Flujo Neto'!K55+'Flujo Neto'!K57+'Flujo Neto'!K58+'Flujo Neto'!K59+'Flujo Neto'!K62</f>
        <v/>
      </c>
      <c r="K34" s="849">
        <f>+'Flujo Neto'!L50+'Flujo Neto'!L51+'Flujo Neto'!L52+'Flujo Neto'!L55+'Flujo Neto'!L57+'Flujo Neto'!L58+'Flujo Neto'!L59+'Flujo Neto'!L62</f>
        <v/>
      </c>
      <c r="L34" s="849">
        <f>+'Flujo Neto'!M50+'Flujo Neto'!M51+'Flujo Neto'!M52+'Flujo Neto'!M55+'Flujo Neto'!M57+'Flujo Neto'!M58+'Flujo Neto'!M59+'Flujo Neto'!M62</f>
        <v/>
      </c>
      <c r="M34" s="849">
        <f>+'Flujo Neto'!N50+'Flujo Neto'!N51+'Flujo Neto'!N52+'Flujo Neto'!N55+'Flujo Neto'!N57+'Flujo Neto'!N58+'Flujo Neto'!N59+'Flujo Neto'!N62</f>
        <v/>
      </c>
      <c r="N34" s="849">
        <f>+'Flujo Neto'!O50+'Flujo Neto'!O51+'Flujo Neto'!O52+'Flujo Neto'!O55+'Flujo Neto'!O57+'Flujo Neto'!O58+'Flujo Neto'!O59+'Flujo Neto'!O62</f>
        <v/>
      </c>
      <c r="O34" s="849">
        <f>+'Flujo Neto'!P50+'Flujo Neto'!P51+'Flujo Neto'!P52+'Flujo Neto'!P55+'Flujo Neto'!P57+'Flujo Neto'!P58+'Flujo Neto'!P59+'Flujo Neto'!P62</f>
        <v/>
      </c>
      <c r="P34" s="849">
        <f>+'Flujo Neto'!Q50+'Flujo Neto'!Q51+'Flujo Neto'!Q52+'Flujo Neto'!Q55+'Flujo Neto'!Q57+'Flujo Neto'!Q58+'Flujo Neto'!Q59+'Flujo Neto'!Q62</f>
        <v/>
      </c>
      <c r="Q34" s="849">
        <f>+'Flujo Neto'!R50+'Flujo Neto'!R51+'Flujo Neto'!R52+'Flujo Neto'!R55+'Flujo Neto'!R57+'Flujo Neto'!R58+'Flujo Neto'!R59+'Flujo Neto'!R62</f>
        <v/>
      </c>
      <c r="R34" s="849">
        <f>+'Flujo Neto'!S50+'Flujo Neto'!S51+'Flujo Neto'!S52+'Flujo Neto'!S55+'Flujo Neto'!S57+'Flujo Neto'!S58+'Flujo Neto'!S59+'Flujo Neto'!S62</f>
        <v/>
      </c>
      <c r="S34" s="848">
        <f>SUM(G33:R33)</f>
        <v/>
      </c>
      <c r="T34" s="849">
        <f>+'Flujo Neto'!V50+'Flujo Neto'!V51+'Flujo Neto'!V52+'Flujo Neto'!V55+'Flujo Neto'!V57+'Flujo Neto'!V58+'Flujo Neto'!V59+'Flujo Neto'!V62</f>
        <v/>
      </c>
      <c r="U34" s="849">
        <f>+'Flujo Neto'!W50+'Flujo Neto'!W51+'Flujo Neto'!W52+'Flujo Neto'!W55+'Flujo Neto'!W57+'Flujo Neto'!W58+'Flujo Neto'!W59+'Flujo Neto'!W62</f>
        <v/>
      </c>
      <c r="V34" s="849">
        <f>+'Flujo Neto'!X50+'Flujo Neto'!X51+'Flujo Neto'!X52+'Flujo Neto'!X55+'Flujo Neto'!X57+'Flujo Neto'!X58+'Flujo Neto'!X59+'Flujo Neto'!X62</f>
        <v/>
      </c>
      <c r="W34" s="849">
        <f>+'Flujo Neto'!Y50+'Flujo Neto'!Y51+'Flujo Neto'!Y52+'Flujo Neto'!Y55+'Flujo Neto'!Y57+'Flujo Neto'!Y58+'Flujo Neto'!Y59+'Flujo Neto'!Y62</f>
        <v/>
      </c>
      <c r="X34" s="849">
        <f>+'Flujo Neto'!Z50+'Flujo Neto'!Z51+'Flujo Neto'!Z52+'Flujo Neto'!Z55+'Flujo Neto'!Z57+'Flujo Neto'!Z58+'Flujo Neto'!Z59+'Flujo Neto'!Z62</f>
        <v/>
      </c>
      <c r="Y34" s="849">
        <f>+'Flujo Neto'!AA50+'Flujo Neto'!AA51+'Flujo Neto'!AA52+'Flujo Neto'!AA55+'Flujo Neto'!AA57+'Flujo Neto'!AA58+'Flujo Neto'!AA59+'Flujo Neto'!AA62</f>
        <v/>
      </c>
      <c r="Z34" s="849">
        <f>+'Flujo Neto'!AB50+'Flujo Neto'!AB51+'Flujo Neto'!AB52+'Flujo Neto'!AB55+'Flujo Neto'!AB57+'Flujo Neto'!AB58+'Flujo Neto'!AB59+'Flujo Neto'!AB62</f>
        <v/>
      </c>
      <c r="AA34" s="849">
        <f>+'Flujo Neto'!AC50+'Flujo Neto'!AC51+'Flujo Neto'!AC52+'Flujo Neto'!AC55+'Flujo Neto'!AC57+'Flujo Neto'!AC58+'Flujo Neto'!AC59+'Flujo Neto'!AC62</f>
        <v/>
      </c>
      <c r="AB34" s="849">
        <f>+'Flujo Neto'!AD50+'Flujo Neto'!AD51+'Flujo Neto'!AD52+'Flujo Neto'!AD55+'Flujo Neto'!AD57+'Flujo Neto'!AD58+'Flujo Neto'!AD59+'Flujo Neto'!AD62</f>
        <v/>
      </c>
      <c r="AC34" s="849">
        <f>+'Flujo Neto'!AE50+'Flujo Neto'!AE51+'Flujo Neto'!AE52+'Flujo Neto'!AE55+'Flujo Neto'!AE57+'Flujo Neto'!AE58+'Flujo Neto'!AE59+'Flujo Neto'!AE62</f>
        <v/>
      </c>
      <c r="AD34" s="849">
        <f>+'Flujo Neto'!AF50+'Flujo Neto'!AF51+'Flujo Neto'!AF52+'Flujo Neto'!AF55+'Flujo Neto'!AF57+'Flujo Neto'!AF58+'Flujo Neto'!AF59+'Flujo Neto'!AF62</f>
        <v/>
      </c>
      <c r="AE34" s="849">
        <f>+'Flujo Neto'!AG50+'Flujo Neto'!AG51+'Flujo Neto'!AG52+'Flujo Neto'!AG55+'Flujo Neto'!AG57+'Flujo Neto'!AG58+'Flujo Neto'!AG59+'Flujo Neto'!AG62</f>
        <v/>
      </c>
      <c r="AF34" s="848">
        <f>SUM(T33:AE33)</f>
        <v/>
      </c>
      <c r="AG34" s="848">
        <f>+SUM(S33,F33,AF33)</f>
        <v/>
      </c>
      <c r="AH34" s="848" t="n"/>
      <c r="AI34" s="848">
        <f>+AG33-AH33</f>
        <v/>
      </c>
      <c r="AJ34" s="853">
        <f>IF(AI33&lt;&gt;0,AI33/AH33,0)</f>
        <v/>
      </c>
      <c r="AK34" s="855">
        <f>AG33/$AG$36</f>
        <v/>
      </c>
      <c r="AL34" s="856" t="n"/>
      <c r="AM34" s="855" t="n"/>
      <c r="AN34" s="845" t="inlineStr">
        <is>
          <t xml:space="preserve">            25.13. Viajes (billetes, vuelos, hoteles, otros)</t>
        </is>
      </c>
    </row>
    <row r="35" ht="14" customFormat="1" customHeight="1" s="838">
      <c r="A35" s="850">
        <f>+A33</f>
        <v/>
      </c>
      <c r="B35" s="850">
        <f>+B33</f>
        <v/>
      </c>
      <c r="C35" s="850">
        <f>+E34</f>
        <v/>
      </c>
      <c r="D35" s="839" t="n"/>
      <c r="E35" s="839" t="inlineStr">
        <is>
          <t xml:space="preserve">            25.14. Otros servicios (resto)</t>
        </is>
      </c>
      <c r="F35" s="851" t="n"/>
      <c r="G35" s="854">
        <f>+SUM('Flujo Neto'!H64:H68)</f>
        <v/>
      </c>
      <c r="H35" s="854">
        <f>+SUM('Flujo Neto'!I64:I68)</f>
        <v/>
      </c>
      <c r="I35" s="854">
        <f>+SUM('Flujo Neto'!J64:J68)</f>
        <v/>
      </c>
      <c r="J35" s="854">
        <f>+SUM('Flujo Neto'!K64:K68)</f>
        <v/>
      </c>
      <c r="K35" s="854">
        <f>+SUM('Flujo Neto'!L64:L68)</f>
        <v/>
      </c>
      <c r="L35" s="854">
        <f>+SUM('Flujo Neto'!M64:M68)</f>
        <v/>
      </c>
      <c r="M35" s="854">
        <f>+SUM('Flujo Neto'!N64:N68)</f>
        <v/>
      </c>
      <c r="N35" s="854">
        <f>+SUM('Flujo Neto'!O64:O68)</f>
        <v/>
      </c>
      <c r="O35" s="854">
        <f>+SUM('Flujo Neto'!P64:P68)</f>
        <v/>
      </c>
      <c r="P35" s="854">
        <f>+SUM('Flujo Neto'!Q64:Q68)</f>
        <v/>
      </c>
      <c r="Q35" s="854">
        <f>+SUM('Flujo Neto'!R64:R68)</f>
        <v/>
      </c>
      <c r="R35" s="854">
        <f>+SUM('Flujo Neto'!S64:S68)</f>
        <v/>
      </c>
      <c r="S35" s="851">
        <f>SUM(G34:R34)</f>
        <v/>
      </c>
      <c r="T35" s="854">
        <f>+SUM('Flujo Neto'!V64:V68)</f>
        <v/>
      </c>
      <c r="U35" s="854">
        <f>+SUM('Flujo Neto'!W64:W68)</f>
        <v/>
      </c>
      <c r="V35" s="854">
        <f>+SUM('Flujo Neto'!X64:X68)</f>
        <v/>
      </c>
      <c r="W35" s="854">
        <f>+SUM('Flujo Neto'!Y64:Y68)</f>
        <v/>
      </c>
      <c r="X35" s="854">
        <f>+SUM('Flujo Neto'!Z64:Z68)</f>
        <v/>
      </c>
      <c r="Y35" s="854">
        <f>+SUM('Flujo Neto'!AA64:AA68)</f>
        <v/>
      </c>
      <c r="Z35" s="854">
        <f>+SUM('Flujo Neto'!AB64:AB68)</f>
        <v/>
      </c>
      <c r="AA35" s="854">
        <f>+SUM('Flujo Neto'!AC64:AC68)</f>
        <v/>
      </c>
      <c r="AB35" s="854">
        <f>+SUM('Flujo Neto'!AD64:AD68)</f>
        <v/>
      </c>
      <c r="AC35" s="854">
        <f>+SUM('Flujo Neto'!AE64:AE68)</f>
        <v/>
      </c>
      <c r="AD35" s="854">
        <f>+SUM('Flujo Neto'!AF64:AF68)</f>
        <v/>
      </c>
      <c r="AE35" s="854">
        <f>+SUM('Flujo Neto'!AG64:AG68)</f>
        <v/>
      </c>
      <c r="AF35" s="851">
        <f>SUM(T34:AE34)</f>
        <v/>
      </c>
      <c r="AG35" s="851">
        <f>+SUM(S34,F34,AF34)</f>
        <v/>
      </c>
      <c r="AH35" s="851" t="n"/>
      <c r="AI35" s="851">
        <f>+AG34-AH34</f>
        <v/>
      </c>
      <c r="AJ35" s="852">
        <f>IF(AI34&lt;&gt;0,AI34/AH34,0)</f>
        <v/>
      </c>
      <c r="AK35" s="857">
        <f>AG34/$AG$36</f>
        <v/>
      </c>
      <c r="AL35" s="858" t="n"/>
      <c r="AM35" s="857" t="n"/>
      <c r="AN35" s="839" t="inlineStr">
        <is>
          <t xml:space="preserve">            25.14. Otros servicios (resto)</t>
        </is>
      </c>
    </row>
    <row r="36" ht="14" customFormat="1" customHeight="1" s="838">
      <c r="A36" s="846">
        <f>+A33</f>
        <v/>
      </c>
      <c r="B36" s="846">
        <f>+B33</f>
        <v/>
      </c>
      <c r="C36" s="846">
        <f>+E35</f>
        <v/>
      </c>
      <c r="D36" s="845" t="n"/>
      <c r="E36" s="845" t="inlineStr">
        <is>
          <t xml:space="preserve">            25.15. Tributos y tasas</t>
        </is>
      </c>
      <c r="F36" s="848" t="n"/>
      <c r="G36" s="849" t="n"/>
      <c r="H36" s="849" t="n"/>
      <c r="I36" s="849" t="n"/>
      <c r="J36" s="849" t="n"/>
      <c r="K36" s="849" t="n"/>
      <c r="L36" s="849" t="n"/>
      <c r="M36" s="849" t="n"/>
      <c r="N36" s="849" t="n"/>
      <c r="O36" s="849" t="n"/>
      <c r="P36" s="849" t="n"/>
      <c r="Q36" s="849" t="n"/>
      <c r="R36" s="849" t="n"/>
      <c r="S36" s="848">
        <f>SUM(G35:R35)</f>
        <v/>
      </c>
      <c r="T36" s="849" t="n"/>
      <c r="U36" s="849" t="n"/>
      <c r="V36" s="849" t="n"/>
      <c r="W36" s="849" t="n"/>
      <c r="X36" s="849" t="n"/>
      <c r="Y36" s="849" t="n"/>
      <c r="Z36" s="849" t="n"/>
      <c r="AA36" s="849" t="n"/>
      <c r="AB36" s="849" t="n"/>
      <c r="AC36" s="849" t="n"/>
      <c r="AD36" s="849" t="n"/>
      <c r="AE36" s="849" t="n"/>
      <c r="AF36" s="848">
        <f>SUM(T35:AE35)</f>
        <v/>
      </c>
      <c r="AG36" s="848">
        <f>+SUM(S35,F35,AF35)</f>
        <v/>
      </c>
      <c r="AH36" s="848" t="n"/>
      <c r="AI36" s="848">
        <f>+AG35-AH35</f>
        <v/>
      </c>
      <c r="AJ36" s="853">
        <f>IF(AI35&lt;&gt;0,AI35/AH35,0)</f>
        <v/>
      </c>
      <c r="AK36" s="855">
        <f>AG35/$AG$36</f>
        <v/>
      </c>
      <c r="AL36" s="856" t="n"/>
      <c r="AM36" s="855" t="n"/>
      <c r="AN36" s="845" t="inlineStr">
        <is>
          <t xml:space="preserve">            25.15. Tributos y tasas</t>
        </is>
      </c>
    </row>
    <row r="37" ht="14" customFormat="1" customHeight="1" s="844">
      <c r="A37" s="850">
        <f>+A35</f>
        <v/>
      </c>
      <c r="B37" s="850">
        <f>+E36</f>
        <v/>
      </c>
      <c r="C37" s="850">
        <f>+E36</f>
        <v/>
      </c>
      <c r="D37" s="839" t="n"/>
      <c r="E37" s="839" t="inlineStr">
        <is>
          <t xml:space="preserve">    D1) RESULTADO PROYECTOS BRUTO (20+21+22+23+24+25)</t>
        </is>
      </c>
      <c r="F37" s="851" t="n"/>
      <c r="G37" s="851">
        <f>+SUM(G8,G11,G15,G18,G19,G20)</f>
        <v/>
      </c>
      <c r="H37" s="851">
        <f>+SUM(H8,H11,H15,H18,H19,H20)</f>
        <v/>
      </c>
      <c r="I37" s="851">
        <f>+SUM(I8,I11,I15,I18,I19,I20)</f>
        <v/>
      </c>
      <c r="J37" s="851">
        <f>+SUM(J8,J11,J15,J18,J19,J20)</f>
        <v/>
      </c>
      <c r="K37" s="851">
        <f>+SUM(K8,K11,K15,K18,K19,K20)</f>
        <v/>
      </c>
      <c r="L37" s="851">
        <f>+SUM(L8,L11,L15,L18,L19,L20)</f>
        <v/>
      </c>
      <c r="M37" s="851">
        <f>+SUM(M8,M11,M15,M18,M19,M20)</f>
        <v/>
      </c>
      <c r="N37" s="851">
        <f>+SUM(N8,N11,N15,N18,N19,N20)</f>
        <v/>
      </c>
      <c r="O37" s="851">
        <f>+SUM(O8,O11,O15,O18,O19,O20)</f>
        <v/>
      </c>
      <c r="P37" s="851">
        <f>+SUM(P8,P11,P15,P18,P19,P20)</f>
        <v/>
      </c>
      <c r="Q37" s="851">
        <f>+SUM(Q8,Q11,Q15,Q18,Q19,Q20)</f>
        <v/>
      </c>
      <c r="R37" s="851">
        <f>+SUM(R8,R11,R15,R18,R19,R20)</f>
        <v/>
      </c>
      <c r="S37" s="851">
        <f>SUM(G36:R36)</f>
        <v/>
      </c>
      <c r="T37" s="851">
        <f>+SUM(T8,T11,T15,T18,T19,T20)</f>
        <v/>
      </c>
      <c r="U37" s="851">
        <f>+SUM(U8,U11,U15,U18,U19,U20)</f>
        <v/>
      </c>
      <c r="V37" s="851">
        <f>+SUM(V8,V11,V15,V18,V19,V20)</f>
        <v/>
      </c>
      <c r="W37" s="851">
        <f>+SUM(W8,W11,W15,W18,W19,W20)</f>
        <v/>
      </c>
      <c r="X37" s="851">
        <f>+SUM(X8,X11,X15,X18,X19,X20)</f>
        <v/>
      </c>
      <c r="Y37" s="851">
        <f>+SUM(Y8,Y11,Y15,Y18,Y19,Y20)</f>
        <v/>
      </c>
      <c r="Z37" s="851">
        <f>+SUM(Z8,Z11,Z15,Z18,Z19,Z20)</f>
        <v/>
      </c>
      <c r="AA37" s="851">
        <f>+SUM(AA8,AA11,AA15,AA18,AA19,AA20)</f>
        <v/>
      </c>
      <c r="AB37" s="851">
        <f>+SUM(AB8,AB11,AB15,AB18,AB19,AB20)</f>
        <v/>
      </c>
      <c r="AC37" s="851">
        <f>+SUM(AC8,AC11,AC15,AC18,AC19,AC20)</f>
        <v/>
      </c>
      <c r="AD37" s="851">
        <f>+SUM(AD8,AD11,AD15,AD18,AD19,AD20)</f>
        <v/>
      </c>
      <c r="AE37" s="851">
        <f>+SUM(AE8,AE11,AE15,AE18,AE19,AE20)</f>
        <v/>
      </c>
      <c r="AF37" s="851">
        <f>+SUM(AF8,AF11,AF15,AF18,AF19,AF20)</f>
        <v/>
      </c>
      <c r="AG37" s="851">
        <f>+SUM(AG8,AG11,AG15,AG18,AG19,AG20)</f>
        <v/>
      </c>
      <c r="AH37" s="851" t="n"/>
      <c r="AI37" s="851">
        <f>+SUM(AI8,AI11,AI15,AI18,AI19,AI20)</f>
        <v/>
      </c>
      <c r="AJ37" s="852">
        <f>IF(AI36&lt;&gt;0,AI36/AH36,0)</f>
        <v/>
      </c>
      <c r="AK37" s="681" t="n"/>
      <c r="AL37" s="839">
        <f>SUM(AL15:AL35)</f>
        <v/>
      </c>
      <c r="AM37" s="681" t="n"/>
      <c r="AN37" s="681" t="n"/>
    </row>
    <row r="38" ht="14" customFormat="1" customHeight="1" s="838">
      <c r="A38" s="846">
        <f>+A36</f>
        <v/>
      </c>
      <c r="B38" s="846">
        <f>+E37</f>
        <v/>
      </c>
      <c r="C38" s="846">
        <f>+E37</f>
        <v/>
      </c>
      <c r="D38" s="845" t="n"/>
      <c r="E38" s="845" t="inlineStr">
        <is>
          <t xml:space="preserve">        26. Activación de inversión de proyectos</t>
        </is>
      </c>
      <c r="F38" s="848" t="n"/>
      <c r="G38" s="848">
        <f>SUM(G38:G39)</f>
        <v/>
      </c>
      <c r="H38" s="848">
        <f>SUM(H38:H39)</f>
        <v/>
      </c>
      <c r="I38" s="848">
        <f>SUM(I38:I39)</f>
        <v/>
      </c>
      <c r="J38" s="848">
        <f>SUM(J38:J39)</f>
        <v/>
      </c>
      <c r="K38" s="848">
        <f>SUM(K38:K39)</f>
        <v/>
      </c>
      <c r="L38" s="848">
        <f>SUM(L38:L39)</f>
        <v/>
      </c>
      <c r="M38" s="848">
        <f>SUM(M38:M39)</f>
        <v/>
      </c>
      <c r="N38" s="848">
        <f>SUM(N38:N39)</f>
        <v/>
      </c>
      <c r="O38" s="848">
        <f>SUM(O38:O39)</f>
        <v/>
      </c>
      <c r="P38" s="848">
        <f>SUM(P38:P39)</f>
        <v/>
      </c>
      <c r="Q38" s="848">
        <f>SUM(Q38:Q39)</f>
        <v/>
      </c>
      <c r="R38" s="848">
        <f>SUM(R38:R39)</f>
        <v/>
      </c>
      <c r="S38" s="848">
        <f>SUM(G37:R37)</f>
        <v/>
      </c>
      <c r="T38" s="848">
        <f>SUM(T38:T39)</f>
        <v/>
      </c>
      <c r="U38" s="848">
        <f>SUM(U38:U39)</f>
        <v/>
      </c>
      <c r="V38" s="848">
        <f>SUM(V38:V39)</f>
        <v/>
      </c>
      <c r="W38" s="848">
        <f>SUM(W38:W39)</f>
        <v/>
      </c>
      <c r="X38" s="848">
        <f>SUM(X38:X39)</f>
        <v/>
      </c>
      <c r="Y38" s="848">
        <f>SUM(Y38:Y39)</f>
        <v/>
      </c>
      <c r="Z38" s="848">
        <f>SUM(Z38:Z39)</f>
        <v/>
      </c>
      <c r="AA38" s="848">
        <f>SUM(AA38:AA39)</f>
        <v/>
      </c>
      <c r="AB38" s="848">
        <f>SUM(AB38:AB39)</f>
        <v/>
      </c>
      <c r="AC38" s="848">
        <f>SUM(AC38:AC39)</f>
        <v/>
      </c>
      <c r="AD38" s="848">
        <f>SUM(AD38:AD39)</f>
        <v/>
      </c>
      <c r="AE38" s="848">
        <f>SUM(AE38:AE39)</f>
        <v/>
      </c>
      <c r="AF38" s="848">
        <f>SUM(T37:AE37)</f>
        <v/>
      </c>
      <c r="AG38" s="848">
        <f>SUM(AG38:AG39)</f>
        <v/>
      </c>
      <c r="AH38" s="848" t="n"/>
      <c r="AI38" s="848">
        <f>SUM(AI38:AI39)</f>
        <v/>
      </c>
      <c r="AJ38" s="853">
        <f>IF(AI37&lt;&gt;0,AI37/AH37,0)</f>
        <v/>
      </c>
      <c r="AK38" s="686" t="n"/>
      <c r="AL38" s="686" t="n"/>
      <c r="AM38" s="686" t="n"/>
      <c r="AN38" s="686" t="n"/>
    </row>
    <row r="39" ht="14" customFormat="1" customHeight="1" s="838">
      <c r="A39" s="850">
        <f>+A37</f>
        <v/>
      </c>
      <c r="B39" s="850">
        <f>+B37</f>
        <v/>
      </c>
      <c r="C39" s="850">
        <f>+E38</f>
        <v/>
      </c>
      <c r="D39" s="839" t="n"/>
      <c r="E39" s="839" t="inlineStr">
        <is>
          <t xml:space="preserve">            26.1. Alta de activo (+)</t>
        </is>
      </c>
      <c r="F39" s="851" t="n"/>
      <c r="G39" s="851">
        <f>-G11</f>
        <v/>
      </c>
      <c r="H39" s="851">
        <f>-H11</f>
        <v/>
      </c>
      <c r="I39" s="851">
        <f>-I11</f>
        <v/>
      </c>
      <c r="J39" s="851">
        <f>-J11</f>
        <v/>
      </c>
      <c r="K39" s="851">
        <f>-K11</f>
        <v/>
      </c>
      <c r="L39" s="851">
        <f>-L11</f>
        <v/>
      </c>
      <c r="M39" s="851">
        <f>-M11</f>
        <v/>
      </c>
      <c r="N39" s="851">
        <f>-N11</f>
        <v/>
      </c>
      <c r="O39" s="851">
        <f>-O11</f>
        <v/>
      </c>
      <c r="P39" s="851">
        <f>-P11</f>
        <v/>
      </c>
      <c r="Q39" s="851">
        <f>-Q11</f>
        <v/>
      </c>
      <c r="R39" s="851">
        <f>-R11</f>
        <v/>
      </c>
      <c r="S39" s="851">
        <f>SUM(G38:R38)</f>
        <v/>
      </c>
      <c r="T39" s="851">
        <f>-T11</f>
        <v/>
      </c>
      <c r="U39" s="851">
        <f>-U11</f>
        <v/>
      </c>
      <c r="V39" s="851">
        <f>-V11</f>
        <v/>
      </c>
      <c r="W39" s="851">
        <f>-W11</f>
        <v/>
      </c>
      <c r="X39" s="851">
        <f>-X11</f>
        <v/>
      </c>
      <c r="Y39" s="851">
        <f>-Y11</f>
        <v/>
      </c>
      <c r="Z39" s="851">
        <f>-Z11</f>
        <v/>
      </c>
      <c r="AA39" s="851">
        <f>-AA11</f>
        <v/>
      </c>
      <c r="AB39" s="851">
        <f>-AB11</f>
        <v/>
      </c>
      <c r="AC39" s="851">
        <f>-AC11</f>
        <v/>
      </c>
      <c r="AD39" s="851">
        <f>-AD11</f>
        <v/>
      </c>
      <c r="AE39" s="851">
        <f>-AE11</f>
        <v/>
      </c>
      <c r="AF39" s="851">
        <f>SUM(T38:AE38)</f>
        <v/>
      </c>
      <c r="AG39" s="851">
        <f>+SUM(S38,F38,AF38)</f>
        <v/>
      </c>
      <c r="AH39" s="851" t="n"/>
      <c r="AI39" s="851">
        <f>+AG38-AH38</f>
        <v/>
      </c>
      <c r="AJ39" s="852">
        <f>IF(AI38&lt;&gt;0,AI38/AH38,0)</f>
        <v/>
      </c>
      <c r="AK39" s="681" t="n"/>
      <c r="AL39" s="681" t="n"/>
      <c r="AM39" s="681" t="n"/>
      <c r="AN39" s="681" t="n"/>
    </row>
    <row r="40" ht="14" customFormat="1" customHeight="1" s="844">
      <c r="A40" s="846">
        <f>+A38</f>
        <v/>
      </c>
      <c r="B40" s="846">
        <f>+B38</f>
        <v/>
      </c>
      <c r="C40" s="846">
        <f>+E39</f>
        <v/>
      </c>
      <c r="D40" s="845" t="n"/>
      <c r="E40" s="845" t="inlineStr">
        <is>
          <t xml:space="preserve">            26.2. Pérdidas por Baja de activo (-)</t>
        </is>
      </c>
      <c r="F40" s="848" t="n"/>
      <c r="G40" s="849" t="n"/>
      <c r="H40" s="849" t="n"/>
      <c r="I40" s="849" t="n"/>
      <c r="J40" s="849" t="n"/>
      <c r="K40" s="849" t="n"/>
      <c r="L40" s="849" t="n"/>
      <c r="M40" s="849" t="n"/>
      <c r="N40" s="849" t="n"/>
      <c r="O40" s="849" t="n"/>
      <c r="P40" s="849" t="n"/>
      <c r="Q40" s="849" t="n"/>
      <c r="R40" s="849" t="n"/>
      <c r="S40" s="848">
        <f>SUM(G39:R39)</f>
        <v/>
      </c>
      <c r="T40" s="849" t="n"/>
      <c r="U40" s="849" t="n"/>
      <c r="V40" s="849" t="n"/>
      <c r="W40" s="849" t="n"/>
      <c r="X40" s="849" t="n"/>
      <c r="Y40" s="849" t="n"/>
      <c r="Z40" s="849" t="n"/>
      <c r="AA40" s="849" t="n"/>
      <c r="AB40" s="849" t="n"/>
      <c r="AC40" s="849" t="n"/>
      <c r="AD40" s="849" t="n"/>
      <c r="AE40" s="849" t="n"/>
      <c r="AF40" s="848">
        <f>SUM(T39:AE39)</f>
        <v/>
      </c>
      <c r="AG40" s="848">
        <f>+SUM(S39,F39,AF39)</f>
        <v/>
      </c>
      <c r="AH40" s="848" t="n"/>
      <c r="AI40" s="848">
        <f>+AG39-AH39</f>
        <v/>
      </c>
      <c r="AJ40" s="853">
        <f>IF(AI39&lt;&gt;0,AI39/AH39,0)</f>
        <v/>
      </c>
      <c r="AK40" s="686" t="n"/>
      <c r="AL40" s="686" t="n"/>
      <c r="AM40" s="686" t="n"/>
      <c r="AN40" s="686" t="n"/>
    </row>
    <row r="41" ht="14" customFormat="1" customHeight="1" s="838">
      <c r="A41" s="850">
        <f>+A39</f>
        <v/>
      </c>
      <c r="B41" s="850">
        <f>+E40</f>
        <v/>
      </c>
      <c r="C41" s="850">
        <f>+E40</f>
        <v/>
      </c>
      <c r="D41" s="839" t="n"/>
      <c r="E41" s="839" t="inlineStr">
        <is>
          <t xml:space="preserve">        27. Alta de inventario de proyectos</t>
        </is>
      </c>
      <c r="F41" s="851" t="n"/>
      <c r="G41" s="851">
        <f>SUM(G41:G42)</f>
        <v/>
      </c>
      <c r="H41" s="851">
        <f>SUM(H41:H42)</f>
        <v/>
      </c>
      <c r="I41" s="851">
        <f>SUM(I41:I42)</f>
        <v/>
      </c>
      <c r="J41" s="851">
        <f>SUM(J41:J42)</f>
        <v/>
      </c>
      <c r="K41" s="851">
        <f>SUM(K41:K42)</f>
        <v/>
      </c>
      <c r="L41" s="851">
        <f>SUM(L41:L42)</f>
        <v/>
      </c>
      <c r="M41" s="851">
        <f>SUM(M41:M42)</f>
        <v/>
      </c>
      <c r="N41" s="851">
        <f>SUM(N41:N42)</f>
        <v/>
      </c>
      <c r="O41" s="851">
        <f>SUM(O41:O42)</f>
        <v/>
      </c>
      <c r="P41" s="851">
        <f>SUM(P41:P42)</f>
        <v/>
      </c>
      <c r="Q41" s="851">
        <f>SUM(Q41:Q42)</f>
        <v/>
      </c>
      <c r="R41" s="851">
        <f>SUM(R41:R42)</f>
        <v/>
      </c>
      <c r="S41" s="851">
        <f>SUM(G40:R40)</f>
        <v/>
      </c>
      <c r="T41" s="851">
        <f>SUM(T41:T42)</f>
        <v/>
      </c>
      <c r="U41" s="851">
        <f>SUM(U41:U42)</f>
        <v/>
      </c>
      <c r="V41" s="851">
        <f>SUM(V41:V42)</f>
        <v/>
      </c>
      <c r="W41" s="851">
        <f>SUM(W41:W42)</f>
        <v/>
      </c>
      <c r="X41" s="851">
        <f>SUM(X41:X42)</f>
        <v/>
      </c>
      <c r="Y41" s="851">
        <f>SUM(Y41:Y42)</f>
        <v/>
      </c>
      <c r="Z41" s="851">
        <f>SUM(Z41:Z42)</f>
        <v/>
      </c>
      <c r="AA41" s="851">
        <f>SUM(AA41:AA42)</f>
        <v/>
      </c>
      <c r="AB41" s="851">
        <f>SUM(AB41:AB42)</f>
        <v/>
      </c>
      <c r="AC41" s="851">
        <f>SUM(AC41:AC42)</f>
        <v/>
      </c>
      <c r="AD41" s="851">
        <f>SUM(AD41:AD42)</f>
        <v/>
      </c>
      <c r="AE41" s="851">
        <f>SUM(AE41:AE42)</f>
        <v/>
      </c>
      <c r="AF41" s="851">
        <f>SUM(T40:AE40)</f>
        <v/>
      </c>
      <c r="AG41" s="851">
        <f>SUM(AG41:AG42)</f>
        <v/>
      </c>
      <c r="AH41" s="851" t="n"/>
      <c r="AI41" s="851">
        <f>SUM(AI41:AI42)</f>
        <v/>
      </c>
      <c r="AJ41" s="852">
        <f>IF(AI40&lt;&gt;0,AI40/AH40,0)</f>
        <v/>
      </c>
      <c r="AK41" s="681" t="n"/>
      <c r="AL41" s="681" t="n"/>
      <c r="AM41" s="681" t="n"/>
      <c r="AN41" s="681" t="n"/>
    </row>
    <row r="42" ht="14" customFormat="1" customHeight="1" s="838">
      <c r="A42" s="846">
        <f>+A40</f>
        <v/>
      </c>
      <c r="B42" s="846">
        <f>+B40</f>
        <v/>
      </c>
      <c r="C42" s="846">
        <f>+E41</f>
        <v/>
      </c>
      <c r="D42" s="845" t="n"/>
      <c r="E42" s="845" t="inlineStr">
        <is>
          <t xml:space="preserve">            27.1. Alta de existencias (+)</t>
        </is>
      </c>
      <c r="F42" s="848" t="n"/>
      <c r="G42" s="848">
        <f>-G15</f>
        <v/>
      </c>
      <c r="H42" s="848">
        <f>-H15</f>
        <v/>
      </c>
      <c r="I42" s="848">
        <f>-I15</f>
        <v/>
      </c>
      <c r="J42" s="848">
        <f>-J15</f>
        <v/>
      </c>
      <c r="K42" s="848">
        <f>-K15</f>
        <v/>
      </c>
      <c r="L42" s="848">
        <f>-L15</f>
        <v/>
      </c>
      <c r="M42" s="848">
        <f>-M15</f>
        <v/>
      </c>
      <c r="N42" s="848">
        <f>-N15</f>
        <v/>
      </c>
      <c r="O42" s="848">
        <f>-O15</f>
        <v/>
      </c>
      <c r="P42" s="848">
        <f>-P15</f>
        <v/>
      </c>
      <c r="Q42" s="848">
        <f>-Q15</f>
        <v/>
      </c>
      <c r="R42" s="848">
        <f>-R15</f>
        <v/>
      </c>
      <c r="S42" s="848">
        <f>SUM(G41:R41)</f>
        <v/>
      </c>
      <c r="T42" s="848">
        <f>-T15</f>
        <v/>
      </c>
      <c r="U42" s="848">
        <f>-U15</f>
        <v/>
      </c>
      <c r="V42" s="848">
        <f>-V15</f>
        <v/>
      </c>
      <c r="W42" s="848">
        <f>-W15</f>
        <v/>
      </c>
      <c r="X42" s="848">
        <f>-X15</f>
        <v/>
      </c>
      <c r="Y42" s="848">
        <f>-Y15</f>
        <v/>
      </c>
      <c r="Z42" s="848">
        <f>-Z15</f>
        <v/>
      </c>
      <c r="AA42" s="848">
        <f>-AA15</f>
        <v/>
      </c>
      <c r="AB42" s="848">
        <f>-AB15</f>
        <v/>
      </c>
      <c r="AC42" s="848">
        <f>-AC15</f>
        <v/>
      </c>
      <c r="AD42" s="848">
        <f>-AD15</f>
        <v/>
      </c>
      <c r="AE42" s="848">
        <f>-AE15</f>
        <v/>
      </c>
      <c r="AF42" s="848">
        <f>SUM(T41:AE41)</f>
        <v/>
      </c>
      <c r="AG42" s="848">
        <f>+SUM(S41,F41,AF41)</f>
        <v/>
      </c>
      <c r="AH42" s="848" t="n"/>
      <c r="AI42" s="848">
        <f>+AG41-AH41</f>
        <v/>
      </c>
      <c r="AJ42" s="853">
        <f>IF(AI41&lt;&gt;0,AI41/AH41,0)</f>
        <v/>
      </c>
      <c r="AK42" s="686" t="n"/>
      <c r="AL42" s="686" t="n"/>
      <c r="AM42" s="686" t="n"/>
      <c r="AN42" s="686" t="n"/>
    </row>
    <row r="43" ht="14" customFormat="1" customHeight="1" s="838">
      <c r="A43" s="850">
        <f>+A41</f>
        <v/>
      </c>
      <c r="B43" s="850">
        <f>+B41</f>
        <v/>
      </c>
      <c r="C43" s="850">
        <f>+E42</f>
        <v/>
      </c>
      <c r="D43" s="839" t="n"/>
      <c r="E43" s="839" t="inlineStr">
        <is>
          <t xml:space="preserve">            27.2. Baja de existencias (-)</t>
        </is>
      </c>
      <c r="F43" s="851" t="n"/>
      <c r="G43" s="854" t="n"/>
      <c r="H43" s="854" t="n"/>
      <c r="I43" s="854" t="n"/>
      <c r="J43" s="854" t="n"/>
      <c r="K43" s="854" t="n"/>
      <c r="L43" s="854" t="n"/>
      <c r="M43" s="854" t="n"/>
      <c r="N43" s="854" t="n"/>
      <c r="O43" s="854" t="n"/>
      <c r="P43" s="854" t="n"/>
      <c r="Q43" s="854" t="n"/>
      <c r="R43" s="854" t="n"/>
      <c r="S43" s="851">
        <f>SUM(G42:R42)</f>
        <v/>
      </c>
      <c r="T43" s="854" t="n"/>
      <c r="U43" s="854" t="n"/>
      <c r="V43" s="854" t="n"/>
      <c r="W43" s="854" t="n"/>
      <c r="X43" s="854" t="n"/>
      <c r="Y43" s="854" t="n"/>
      <c r="Z43" s="854" t="n"/>
      <c r="AA43" s="854" t="n"/>
      <c r="AB43" s="854" t="n"/>
      <c r="AC43" s="854" t="n"/>
      <c r="AD43" s="854" t="n"/>
      <c r="AE43" s="854" t="n"/>
      <c r="AF43" s="851">
        <f>SUM(T42:AE42)</f>
        <v/>
      </c>
      <c r="AG43" s="851">
        <f>+SUM(S42,F42,AF42)</f>
        <v/>
      </c>
      <c r="AH43" s="851" t="n"/>
      <c r="AI43" s="851">
        <f>+AG42-AH42</f>
        <v/>
      </c>
      <c r="AJ43" s="852">
        <f>IF(AI42&lt;&gt;0,AI42/AH42,0)</f>
        <v/>
      </c>
      <c r="AK43" s="681" t="n"/>
      <c r="AL43" s="681" t="n"/>
      <c r="AM43" s="681" t="n"/>
      <c r="AN43" s="681" t="n"/>
    </row>
    <row r="44" ht="14" customHeight="1" s="549">
      <c r="A44" s="846">
        <f>+A42</f>
        <v/>
      </c>
      <c r="B44" s="846">
        <f>+E43</f>
        <v/>
      </c>
      <c r="C44" s="846">
        <f>+E43</f>
        <v/>
      </c>
      <c r="D44" s="845" t="n"/>
      <c r="E44" s="845" t="inlineStr">
        <is>
          <t xml:space="preserve">    D) RESULTADO PROYECTOS NETO (20+21+22+23+24+25+26+27)</t>
        </is>
      </c>
      <c r="F44" s="848" t="n"/>
      <c r="G44" s="848">
        <f>+SUM(G36,G37,G40)</f>
        <v/>
      </c>
      <c r="H44" s="848">
        <f>+SUM(H36,H37,H40)</f>
        <v/>
      </c>
      <c r="I44" s="848">
        <f>+SUM(I36,I37,I40)</f>
        <v/>
      </c>
      <c r="J44" s="848">
        <f>+SUM(J36,J37,J40)</f>
        <v/>
      </c>
      <c r="K44" s="848">
        <f>+SUM(K36,K37,K40)</f>
        <v/>
      </c>
      <c r="L44" s="848">
        <f>+SUM(L36,L37,L40)</f>
        <v/>
      </c>
      <c r="M44" s="848">
        <f>+SUM(M36,M37,M40)</f>
        <v/>
      </c>
      <c r="N44" s="848">
        <f>+SUM(N36,N37,N40)</f>
        <v/>
      </c>
      <c r="O44" s="848">
        <f>+SUM(O36,O37,O40)</f>
        <v/>
      </c>
      <c r="P44" s="848">
        <f>+SUM(P36,P37,P40)</f>
        <v/>
      </c>
      <c r="Q44" s="848">
        <f>+SUM(Q36,Q37,Q40)</f>
        <v/>
      </c>
      <c r="R44" s="848">
        <f>+SUM(R36,R37,R40)</f>
        <v/>
      </c>
      <c r="S44" s="848">
        <f>SUM(G43:R43)</f>
        <v/>
      </c>
      <c r="T44" s="848">
        <f>+SUM(T36,T37,T40)</f>
        <v/>
      </c>
      <c r="U44" s="848">
        <f>+SUM(U36,U37,U40)</f>
        <v/>
      </c>
      <c r="V44" s="848">
        <f>+SUM(V36,V37,V40)</f>
        <v/>
      </c>
      <c r="W44" s="848">
        <f>+SUM(W36,W37,W40)</f>
        <v/>
      </c>
      <c r="X44" s="848">
        <f>+SUM(X36,X37,X40)</f>
        <v/>
      </c>
      <c r="Y44" s="848">
        <f>+SUM(Y36,Y37,Y40)</f>
        <v/>
      </c>
      <c r="Z44" s="848">
        <f>+SUM(Z36,Z37,Z40)</f>
        <v/>
      </c>
      <c r="AA44" s="848">
        <f>+SUM(AA36,AA37,AA40)</f>
        <v/>
      </c>
      <c r="AB44" s="848">
        <f>+SUM(AB36,AB37,AB40)</f>
        <v/>
      </c>
      <c r="AC44" s="848">
        <f>+SUM(AC36,AC37,AC40)</f>
        <v/>
      </c>
      <c r="AD44" s="848">
        <f>+SUM(AD36,AD37,AD40)</f>
        <v/>
      </c>
      <c r="AE44" s="848">
        <f>+SUM(AE36,AE37,AE40)</f>
        <v/>
      </c>
      <c r="AF44" s="848">
        <f>SUM(T43:AE43)</f>
        <v/>
      </c>
      <c r="AG44" s="848">
        <f>+SUM(AG36,AG37,AG40)</f>
        <v/>
      </c>
      <c r="AH44" s="848" t="n"/>
      <c r="AI44" s="848">
        <f>+SUM(AI36,AI37,AI40)</f>
        <v/>
      </c>
      <c r="AJ44" s="853">
        <f>IF(AI43&lt;&gt;0,AI43/AH43,0)</f>
        <v/>
      </c>
      <c r="AK44" s="686" t="n"/>
      <c r="AL44" s="686" t="n"/>
      <c r="AM44" s="686" t="n"/>
      <c r="AN44" s="686" t="n"/>
    </row>
    <row r="45"/>
    <row r="46" ht="12" customHeight="1" s="549"/>
    <row r="47" ht="14" customHeight="1" s="549">
      <c r="A47" s="681" t="n"/>
      <c r="B47" s="681" t="n"/>
      <c r="C47" s="681" t="n"/>
      <c r="D47" s="681" t="n"/>
      <c r="E47" s="681" t="n"/>
      <c r="F47" s="681" t="n"/>
      <c r="G47" s="681" t="n"/>
      <c r="H47" s="681" t="n"/>
      <c r="I47" s="681" t="n"/>
      <c r="J47" s="681" t="n"/>
      <c r="K47" s="681" t="n"/>
      <c r="L47" s="681" t="n"/>
      <c r="M47" s="681" t="n"/>
      <c r="N47" s="681" t="n"/>
      <c r="O47" s="831" t="inlineStr">
        <is>
          <t>MONEDA:</t>
        </is>
      </c>
      <c r="P47" s="681">
        <f>#NAME?</f>
        <v/>
      </c>
      <c r="Q47" s="831" t="inlineStr">
        <is>
          <t>PAÍS:</t>
        </is>
      </c>
      <c r="R47" s="681">
        <f>#NAME?</f>
        <v/>
      </c>
      <c r="S47" s="681" t="n"/>
      <c r="T47" s="681" t="n"/>
      <c r="U47" s="681" t="n"/>
      <c r="V47" s="681" t="n"/>
      <c r="W47" s="681" t="n"/>
      <c r="X47" s="681" t="n"/>
      <c r="Y47" s="681" t="n"/>
      <c r="Z47" s="681" t="n"/>
      <c r="AA47" s="681" t="n"/>
      <c r="AB47" s="681" t="n"/>
      <c r="AC47" s="681" t="n"/>
      <c r="AD47" s="681" t="n"/>
      <c r="AE47" s="681" t="n"/>
      <c r="AF47" s="681" t="n"/>
      <c r="AG47" s="681" t="n"/>
      <c r="AH47" s="681" t="n"/>
      <c r="AI47" s="681" t="n"/>
      <c r="AJ47" s="681" t="n"/>
      <c r="AK47" s="681" t="n"/>
      <c r="AL47" s="681" t="n"/>
      <c r="AM47" s="681" t="n"/>
      <c r="AN47" s="681" t="n"/>
    </row>
    <row r="48" hidden="1" outlineLevel="1" ht="14" customHeight="1" s="549">
      <c r="A48" s="686" t="n"/>
      <c r="B48" s="686" t="n"/>
      <c r="C48" s="686" t="n"/>
      <c r="D48" s="686" t="n"/>
      <c r="E48" s="834" t="inlineStr">
        <is>
          <t>* Desglosar para ver importes en EUR</t>
        </is>
      </c>
      <c r="F48" s="686" t="n"/>
      <c r="G48" s="686" t="n"/>
      <c r="H48" s="686" t="n"/>
      <c r="I48" s="686" t="n"/>
      <c r="J48" s="686" t="n"/>
      <c r="K48" s="686" t="n"/>
      <c r="L48" s="686" t="n"/>
      <c r="M48" s="686" t="n"/>
      <c r="N48" s="686" t="n"/>
      <c r="O48" s="834" t="inlineStr">
        <is>
          <t>T/CAMBIO:</t>
        </is>
      </c>
      <c r="P48" s="686">
        <f>#NAME?</f>
        <v/>
      </c>
      <c r="Q48" s="834" t="inlineStr">
        <is>
          <t>DATO:</t>
        </is>
      </c>
      <c r="R48" s="686">
        <f>#NAME?</f>
        <v/>
      </c>
      <c r="S48" s="686" t="n"/>
      <c r="T48" s="686" t="n"/>
      <c r="U48" s="686" t="n"/>
      <c r="V48" s="686" t="n"/>
      <c r="W48" s="686" t="n"/>
      <c r="X48" s="686" t="n"/>
      <c r="Y48" s="686" t="n"/>
      <c r="Z48" s="686" t="n"/>
      <c r="AA48" s="686" t="n"/>
      <c r="AB48" s="686" t="n"/>
      <c r="AC48" s="686" t="n"/>
      <c r="AD48" s="686" t="n"/>
      <c r="AE48" s="686" t="n"/>
      <c r="AF48" s="686" t="n"/>
      <c r="AG48" s="859">
        <f>AG36/60</f>
        <v/>
      </c>
      <c r="AH48" s="686" t="n"/>
      <c r="AI48" s="686" t="n"/>
      <c r="AJ48" s="686" t="n"/>
      <c r="AK48" s="686" t="n"/>
      <c r="AL48" s="686" t="n"/>
      <c r="AM48" s="686" t="n"/>
      <c r="AN48" s="686" t="n"/>
    </row>
    <row r="49" hidden="1" outlineLevel="1" ht="12" customHeight="1" s="549"/>
    <row r="50" hidden="1" outlineLevel="1" ht="14" customHeight="1" s="549">
      <c r="A50" s="681" t="n"/>
      <c r="B50" s="681" t="n"/>
      <c r="C50" s="681" t="n"/>
      <c r="D50" s="681" t="n"/>
      <c r="E50" s="681" t="n"/>
      <c r="F50" s="681" t="n"/>
      <c r="G50" s="681" t="n"/>
      <c r="H50" s="681" t="n"/>
      <c r="I50" s="681" t="n"/>
      <c r="J50" s="681" t="n"/>
      <c r="K50" s="681" t="n"/>
      <c r="L50" s="681" t="n"/>
      <c r="M50" s="681" t="n"/>
      <c r="N50" s="681" t="n"/>
      <c r="O50" s="681" t="n"/>
      <c r="P50" s="681" t="n"/>
      <c r="Q50" s="681" t="n"/>
      <c r="R50" s="681" t="n"/>
      <c r="S50" s="681" t="n"/>
      <c r="T50" s="681" t="n"/>
      <c r="U50" s="681" t="n"/>
      <c r="V50" s="681" t="n"/>
      <c r="W50" s="681" t="n"/>
      <c r="X50" s="681" t="n"/>
      <c r="Y50" s="681" t="n"/>
      <c r="Z50" s="681" t="n"/>
      <c r="AA50" s="681" t="n"/>
      <c r="AB50" s="681" t="n"/>
      <c r="AC50" s="681" t="n"/>
      <c r="AD50" s="681" t="n"/>
      <c r="AE50" s="681" t="n"/>
      <c r="AF50" s="681" t="n"/>
      <c r="AG50" s="823">
        <f>+AG4</f>
        <v/>
      </c>
      <c r="AH50" s="860">
        <f>+AH3</f>
        <v/>
      </c>
      <c r="AI50" s="831" t="n"/>
      <c r="AJ50" s="831" t="n"/>
      <c r="AK50" s="681" t="n"/>
      <c r="AL50" s="681" t="n"/>
      <c r="AM50" s="681" t="n"/>
      <c r="AN50" s="681" t="n"/>
    </row>
    <row r="51" hidden="1" outlineLevel="1" ht="14" customHeight="1" s="549">
      <c r="A51" s="836" t="n"/>
      <c r="B51" s="834" t="n"/>
      <c r="C51" s="834" t="n"/>
      <c r="D51" s="836" t="n"/>
      <c r="E51" s="837" t="inlineStr">
        <is>
          <t>ANALÍTICA MENSUAL EUR CONSOLIDADA</t>
        </is>
      </c>
      <c r="F51" s="820">
        <f>+F5</f>
        <v/>
      </c>
      <c r="G51" s="836">
        <f>+G5</f>
        <v/>
      </c>
      <c r="H51" s="834" t="n"/>
      <c r="I51" s="834" t="n"/>
      <c r="J51" s="834" t="n"/>
      <c r="K51" s="834" t="n"/>
      <c r="L51" s="834" t="n"/>
      <c r="M51" s="834" t="n"/>
      <c r="N51" s="834" t="n"/>
      <c r="O51" s="834" t="n"/>
      <c r="P51" s="834" t="n"/>
      <c r="Q51" s="834" t="n"/>
      <c r="R51" s="834" t="n"/>
      <c r="S51" s="820">
        <f>+S5</f>
        <v/>
      </c>
      <c r="T51" s="820" t="n"/>
      <c r="U51" s="820" t="n"/>
      <c r="V51" s="820" t="n"/>
      <c r="W51" s="820" t="n"/>
      <c r="X51" s="820" t="n"/>
      <c r="Y51" s="820" t="n"/>
      <c r="Z51" s="820" t="n"/>
      <c r="AA51" s="820" t="n"/>
      <c r="AB51" s="820" t="n"/>
      <c r="AC51" s="820" t="n"/>
      <c r="AD51" s="820" t="n"/>
      <c r="AE51" s="820" t="n"/>
      <c r="AF51" s="820">
        <f>+AF5</f>
        <v/>
      </c>
      <c r="AG51" s="820">
        <f>+AG5</f>
        <v/>
      </c>
      <c r="AH51" s="820">
        <f>+AH5</f>
        <v/>
      </c>
      <c r="AI51" s="820">
        <f>+AI5</f>
        <v/>
      </c>
      <c r="AJ51" s="820">
        <f>+AJ5</f>
        <v/>
      </c>
      <c r="AK51" s="686" t="n"/>
      <c r="AL51" s="686" t="n"/>
      <c r="AM51" s="686" t="n"/>
      <c r="AN51" s="686" t="n"/>
    </row>
    <row r="52" hidden="1" outlineLevel="1" ht="14" customFormat="1" customHeight="1" s="838">
      <c r="A52" s="839" t="n"/>
      <c r="B52" s="839" t="n"/>
      <c r="C52" s="839" t="n"/>
      <c r="D52" s="839" t="n"/>
      <c r="E52" s="831" t="n"/>
      <c r="F52" s="843">
        <f>+F6</f>
        <v/>
      </c>
      <c r="G52" s="843">
        <f>+G6</f>
        <v/>
      </c>
      <c r="H52" s="843">
        <f>+H6</f>
        <v/>
      </c>
      <c r="I52" s="843">
        <f>+I6</f>
        <v/>
      </c>
      <c r="J52" s="843">
        <f>+J6</f>
        <v/>
      </c>
      <c r="K52" s="843">
        <f>+K6</f>
        <v/>
      </c>
      <c r="L52" s="843">
        <f>+L6</f>
        <v/>
      </c>
      <c r="M52" s="843">
        <f>+M6</f>
        <v/>
      </c>
      <c r="N52" s="843">
        <f>+N6</f>
        <v/>
      </c>
      <c r="O52" s="843">
        <f>+O6</f>
        <v/>
      </c>
      <c r="P52" s="843">
        <f>+P6</f>
        <v/>
      </c>
      <c r="Q52" s="843">
        <f>+Q6</f>
        <v/>
      </c>
      <c r="R52" s="843">
        <f>+R6</f>
        <v/>
      </c>
      <c r="S52" s="843">
        <f>+S6</f>
        <v/>
      </c>
      <c r="T52" s="843" t="n"/>
      <c r="U52" s="843" t="n"/>
      <c r="V52" s="843" t="n"/>
      <c r="W52" s="843" t="n"/>
      <c r="X52" s="843" t="n"/>
      <c r="Y52" s="843" t="n"/>
      <c r="Z52" s="843" t="n"/>
      <c r="AA52" s="843" t="n"/>
      <c r="AB52" s="843" t="n"/>
      <c r="AC52" s="843" t="n"/>
      <c r="AD52" s="843" t="n"/>
      <c r="AE52" s="843" t="n"/>
      <c r="AF52" s="843">
        <f>+AF6</f>
        <v/>
      </c>
      <c r="AG52" s="843">
        <f>+AG6</f>
        <v/>
      </c>
      <c r="AH52" s="843">
        <f>+AH6</f>
        <v/>
      </c>
      <c r="AI52" s="843">
        <f>+AI6</f>
        <v/>
      </c>
      <c r="AJ52" s="843">
        <f>+AJ6</f>
        <v/>
      </c>
      <c r="AK52" s="681" t="n"/>
      <c r="AL52" s="681" t="n"/>
      <c r="AM52" s="681" t="n"/>
      <c r="AN52" s="681" t="n"/>
    </row>
    <row r="53" hidden="1" outlineLevel="1" ht="14" customFormat="1" customHeight="1" s="844">
      <c r="A53" s="846">
        <f>+A7</f>
        <v/>
      </c>
      <c r="B53" s="846">
        <f>+B7</f>
        <v/>
      </c>
      <c r="C53" s="846">
        <f>+C7</f>
        <v/>
      </c>
      <c r="D53" s="846">
        <f>+D7</f>
        <v/>
      </c>
      <c r="E53" s="861">
        <f>+E7</f>
        <v/>
      </c>
      <c r="F53" s="849" t="n"/>
      <c r="G53" s="849" t="n"/>
      <c r="H53" s="849" t="n"/>
      <c r="I53" s="849" t="n"/>
      <c r="J53" s="849"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c r="AE53" s="849" t="n"/>
      <c r="AF53" s="849" t="n"/>
      <c r="AG53" s="849" t="n"/>
      <c r="AH53" s="849" t="n"/>
      <c r="AI53" s="849" t="n"/>
      <c r="AJ53" s="849" t="n"/>
      <c r="AK53" s="686" t="n"/>
      <c r="AL53" s="686" t="n"/>
      <c r="AM53" s="686" t="n"/>
      <c r="AN53" s="686" t="n"/>
    </row>
    <row r="54" hidden="1" outlineLevel="1" ht="14" customFormat="1" customHeight="1" s="838">
      <c r="A54" s="850">
        <f>+A8</f>
        <v/>
      </c>
      <c r="B54" s="850">
        <f>+B8</f>
        <v/>
      </c>
      <c r="C54" s="850">
        <f>+C8</f>
        <v/>
      </c>
      <c r="D54" s="850">
        <f>+D8</f>
        <v/>
      </c>
      <c r="E54" s="850">
        <f>+E8</f>
        <v/>
      </c>
      <c r="F54" s="851">
        <f>+F8*$P$47</f>
        <v/>
      </c>
      <c r="G54" s="851">
        <f>+G8*$P$47</f>
        <v/>
      </c>
      <c r="H54" s="851">
        <f>+H8*$P$47</f>
        <v/>
      </c>
      <c r="I54" s="851">
        <f>+I8*$P$47</f>
        <v/>
      </c>
      <c r="J54" s="851">
        <f>+J8*$P$47</f>
        <v/>
      </c>
      <c r="K54" s="851">
        <f>+K8*$P$47</f>
        <v/>
      </c>
      <c r="L54" s="851">
        <f>+L8*$P$47</f>
        <v/>
      </c>
      <c r="M54" s="851">
        <f>+M8*$P$47</f>
        <v/>
      </c>
      <c r="N54" s="851">
        <f>+N8*$P$47</f>
        <v/>
      </c>
      <c r="O54" s="851">
        <f>+O8*$P$47</f>
        <v/>
      </c>
      <c r="P54" s="851">
        <f>+P8*$P$47</f>
        <v/>
      </c>
      <c r="Q54" s="851">
        <f>+Q8*$P$47</f>
        <v/>
      </c>
      <c r="R54" s="851">
        <f>+R8*$P$47</f>
        <v/>
      </c>
      <c r="S54" s="851">
        <f>+S8*$P$47</f>
        <v/>
      </c>
      <c r="T54" s="851" t="n"/>
      <c r="U54" s="851" t="n"/>
      <c r="V54" s="851" t="n"/>
      <c r="W54" s="851" t="n"/>
      <c r="X54" s="851" t="n"/>
      <c r="Y54" s="851" t="n"/>
      <c r="Z54" s="851" t="n"/>
      <c r="AA54" s="851" t="n"/>
      <c r="AB54" s="851" t="n"/>
      <c r="AC54" s="851" t="n"/>
      <c r="AD54" s="851" t="n"/>
      <c r="AE54" s="851" t="n"/>
      <c r="AF54" s="851">
        <f>+AF8*$P$47</f>
        <v/>
      </c>
      <c r="AG54" s="851">
        <f>+AG8*$P$47</f>
        <v/>
      </c>
      <c r="AH54" s="851">
        <f>+AH8*$P$47</f>
        <v/>
      </c>
      <c r="AI54" s="851">
        <f>+AI8*$P$47</f>
        <v/>
      </c>
      <c r="AJ54" s="852">
        <f>IF(AI53&lt;&gt;0,AI53/AH53,0)</f>
        <v/>
      </c>
      <c r="AK54" s="681" t="n"/>
      <c r="AL54" s="681" t="n"/>
      <c r="AM54" s="681" t="n"/>
      <c r="AN54" s="681" t="n"/>
    </row>
    <row r="55" hidden="1" outlineLevel="1" ht="14" customFormat="1" customHeight="1" s="838">
      <c r="A55" s="846">
        <f>+A9</f>
        <v/>
      </c>
      <c r="B55" s="846">
        <f>+B9</f>
        <v/>
      </c>
      <c r="C55" s="846">
        <f>+C9</f>
        <v/>
      </c>
      <c r="D55" s="846">
        <f>+D9</f>
        <v/>
      </c>
      <c r="E55" s="846">
        <f>+E9</f>
        <v/>
      </c>
      <c r="F55" s="848">
        <f>+F9*$P$47</f>
        <v/>
      </c>
      <c r="G55" s="848">
        <f>+G9*$P$47</f>
        <v/>
      </c>
      <c r="H55" s="848">
        <f>+H9*$P$47</f>
        <v/>
      </c>
      <c r="I55" s="848">
        <f>+I9*$P$47</f>
        <v/>
      </c>
      <c r="J55" s="848">
        <f>+J9*$P$47</f>
        <v/>
      </c>
      <c r="K55" s="848">
        <f>+K9*$P$47</f>
        <v/>
      </c>
      <c r="L55" s="848">
        <f>+L9*$P$47</f>
        <v/>
      </c>
      <c r="M55" s="848">
        <f>+M9*$P$47</f>
        <v/>
      </c>
      <c r="N55" s="848">
        <f>+N9*$P$47</f>
        <v/>
      </c>
      <c r="O55" s="848">
        <f>+O9*$P$47</f>
        <v/>
      </c>
      <c r="P55" s="848">
        <f>+P9*$P$47</f>
        <v/>
      </c>
      <c r="Q55" s="848">
        <f>+Q9*$P$47</f>
        <v/>
      </c>
      <c r="R55" s="848">
        <f>+R9*$P$47</f>
        <v/>
      </c>
      <c r="S55" s="848">
        <f>+S9*$P$47</f>
        <v/>
      </c>
      <c r="T55" s="848" t="n"/>
      <c r="U55" s="848" t="n"/>
      <c r="V55" s="848" t="n"/>
      <c r="W55" s="848" t="n"/>
      <c r="X55" s="848" t="n"/>
      <c r="Y55" s="848" t="n"/>
      <c r="Z55" s="848" t="n"/>
      <c r="AA55" s="848" t="n"/>
      <c r="AB55" s="848" t="n"/>
      <c r="AC55" s="848" t="n"/>
      <c r="AD55" s="848" t="n"/>
      <c r="AE55" s="848" t="n"/>
      <c r="AF55" s="848">
        <f>+AF9*$P$47</f>
        <v/>
      </c>
      <c r="AG55" s="848">
        <f>+AG9*$P$47</f>
        <v/>
      </c>
      <c r="AH55" s="848">
        <f>+AH9*$P$47</f>
        <v/>
      </c>
      <c r="AI55" s="848">
        <f>+AI9*$P$47</f>
        <v/>
      </c>
      <c r="AJ55" s="853">
        <f>IF(AI54&lt;&gt;0,AI54/AH54,0)</f>
        <v/>
      </c>
      <c r="AK55" s="686" t="n"/>
      <c r="AL55" s="686" t="n"/>
      <c r="AM55" s="686" t="n"/>
      <c r="AN55" s="686" t="n"/>
    </row>
    <row r="56" hidden="1" outlineLevel="1" ht="14" customFormat="1" customHeight="1" s="844">
      <c r="A56" s="850">
        <f>+A10</f>
        <v/>
      </c>
      <c r="B56" s="850">
        <f>+B10</f>
        <v/>
      </c>
      <c r="C56" s="850">
        <f>+C10</f>
        <v/>
      </c>
      <c r="D56" s="850">
        <f>+D10</f>
        <v/>
      </c>
      <c r="E56" s="850">
        <f>+E10</f>
        <v/>
      </c>
      <c r="F56" s="851">
        <f>+F10*$P$47</f>
        <v/>
      </c>
      <c r="G56" s="851">
        <f>+G10*$P$47</f>
        <v/>
      </c>
      <c r="H56" s="851">
        <f>+H10*$P$47</f>
        <v/>
      </c>
      <c r="I56" s="851">
        <f>+I10*$P$47</f>
        <v/>
      </c>
      <c r="J56" s="851">
        <f>+J10*$P$47</f>
        <v/>
      </c>
      <c r="K56" s="851">
        <f>+K10*$P$47</f>
        <v/>
      </c>
      <c r="L56" s="851">
        <f>+L10*$P$47</f>
        <v/>
      </c>
      <c r="M56" s="851">
        <f>+M10*$P$47</f>
        <v/>
      </c>
      <c r="N56" s="851">
        <f>+N10*$P$47</f>
        <v/>
      </c>
      <c r="O56" s="851">
        <f>+O10*$P$47</f>
        <v/>
      </c>
      <c r="P56" s="851">
        <f>+P10*$P$47</f>
        <v/>
      </c>
      <c r="Q56" s="851">
        <f>+Q10*$P$47</f>
        <v/>
      </c>
      <c r="R56" s="851">
        <f>+R10*$P$47</f>
        <v/>
      </c>
      <c r="S56" s="851">
        <f>+S10*$P$47</f>
        <v/>
      </c>
      <c r="T56" s="851" t="n"/>
      <c r="U56" s="851" t="n"/>
      <c r="V56" s="851" t="n"/>
      <c r="W56" s="851" t="n"/>
      <c r="X56" s="851" t="n"/>
      <c r="Y56" s="851" t="n"/>
      <c r="Z56" s="851" t="n"/>
      <c r="AA56" s="851" t="n"/>
      <c r="AB56" s="851" t="n"/>
      <c r="AC56" s="851" t="n"/>
      <c r="AD56" s="851" t="n"/>
      <c r="AE56" s="851" t="n"/>
      <c r="AF56" s="851">
        <f>+AF10*$P$47</f>
        <v/>
      </c>
      <c r="AG56" s="851">
        <f>+AG10*$P$47</f>
        <v/>
      </c>
      <c r="AH56" s="851">
        <f>+AH10*$P$47</f>
        <v/>
      </c>
      <c r="AI56" s="851">
        <f>+AI10*$P$47</f>
        <v/>
      </c>
      <c r="AJ56" s="852">
        <f>IF(AI55&lt;&gt;0,AI55/AH55,0)</f>
        <v/>
      </c>
      <c r="AK56" s="681" t="n"/>
      <c r="AL56" s="681" t="n"/>
      <c r="AM56" s="681" t="n"/>
      <c r="AN56" s="681" t="n"/>
    </row>
    <row r="57" hidden="1" outlineLevel="1" ht="14" customFormat="1" customHeight="1" s="838">
      <c r="A57" s="846">
        <f>+A11</f>
        <v/>
      </c>
      <c r="B57" s="846">
        <f>+B11</f>
        <v/>
      </c>
      <c r="C57" s="846">
        <f>+C11</f>
        <v/>
      </c>
      <c r="D57" s="846">
        <f>+D11</f>
        <v/>
      </c>
      <c r="E57" s="846">
        <f>+E11</f>
        <v/>
      </c>
      <c r="F57" s="848">
        <f>+F11*$P$47</f>
        <v/>
      </c>
      <c r="G57" s="848">
        <f>+G11*$P$47</f>
        <v/>
      </c>
      <c r="H57" s="848">
        <f>+H11*$P$47</f>
        <v/>
      </c>
      <c r="I57" s="848">
        <f>+I11*$P$47</f>
        <v/>
      </c>
      <c r="J57" s="848">
        <f>+J11*$P$47</f>
        <v/>
      </c>
      <c r="K57" s="848">
        <f>+K11*$P$47</f>
        <v/>
      </c>
      <c r="L57" s="848">
        <f>+L11*$P$47</f>
        <v/>
      </c>
      <c r="M57" s="848">
        <f>+M11*$P$47</f>
        <v/>
      </c>
      <c r="N57" s="848">
        <f>+N11*$P$47</f>
        <v/>
      </c>
      <c r="O57" s="848">
        <f>+O11*$P$47</f>
        <v/>
      </c>
      <c r="P57" s="848">
        <f>+P11*$P$47</f>
        <v/>
      </c>
      <c r="Q57" s="848">
        <f>+Q11*$P$47</f>
        <v/>
      </c>
      <c r="R57" s="848">
        <f>+R11*$P$47</f>
        <v/>
      </c>
      <c r="S57" s="848">
        <f>+S11*$P$47</f>
        <v/>
      </c>
      <c r="T57" s="848" t="n"/>
      <c r="U57" s="848" t="n"/>
      <c r="V57" s="848" t="n"/>
      <c r="W57" s="848" t="n"/>
      <c r="X57" s="848" t="n"/>
      <c r="Y57" s="848" t="n"/>
      <c r="Z57" s="848" t="n"/>
      <c r="AA57" s="848" t="n"/>
      <c r="AB57" s="848" t="n"/>
      <c r="AC57" s="848" t="n"/>
      <c r="AD57" s="848" t="n"/>
      <c r="AE57" s="848" t="n"/>
      <c r="AF57" s="848">
        <f>+AF11*$P$47</f>
        <v/>
      </c>
      <c r="AG57" s="848">
        <f>+AG11*$P$47</f>
        <v/>
      </c>
      <c r="AH57" s="848">
        <f>+AH11*$P$47</f>
        <v/>
      </c>
      <c r="AI57" s="848">
        <f>+AI11*$P$47</f>
        <v/>
      </c>
      <c r="AJ57" s="853">
        <f>IF(AI56&lt;&gt;0,AI56/AH56,0)</f>
        <v/>
      </c>
      <c r="AK57" s="686" t="n"/>
      <c r="AL57" s="686" t="n"/>
      <c r="AM57" s="686" t="n"/>
      <c r="AN57" s="686" t="n"/>
    </row>
    <row r="58" hidden="1" outlineLevel="1" ht="14" customFormat="1" customHeight="1" s="838">
      <c r="A58" s="850">
        <f>+A12</f>
        <v/>
      </c>
      <c r="B58" s="850">
        <f>+B12</f>
        <v/>
      </c>
      <c r="C58" s="850">
        <f>+C12</f>
        <v/>
      </c>
      <c r="D58" s="850">
        <f>+D12</f>
        <v/>
      </c>
      <c r="E58" s="850">
        <f>+E12</f>
        <v/>
      </c>
      <c r="F58" s="851">
        <f>+F12*$P$47</f>
        <v/>
      </c>
      <c r="G58" s="851">
        <f>+G12*$P$47</f>
        <v/>
      </c>
      <c r="H58" s="851">
        <f>+H12*$P$47</f>
        <v/>
      </c>
      <c r="I58" s="851">
        <f>+I12*$P$47</f>
        <v/>
      </c>
      <c r="J58" s="851">
        <f>+J12*$P$47</f>
        <v/>
      </c>
      <c r="K58" s="851">
        <f>+K12*$P$47</f>
        <v/>
      </c>
      <c r="L58" s="851">
        <f>+L12*$P$47</f>
        <v/>
      </c>
      <c r="M58" s="851">
        <f>+M12*$P$47</f>
        <v/>
      </c>
      <c r="N58" s="851">
        <f>+N12*$P$47</f>
        <v/>
      </c>
      <c r="O58" s="851">
        <f>+O12*$P$47</f>
        <v/>
      </c>
      <c r="P58" s="851">
        <f>+P12*$P$47</f>
        <v/>
      </c>
      <c r="Q58" s="851">
        <f>+Q12*$P$47</f>
        <v/>
      </c>
      <c r="R58" s="851">
        <f>+R12*$P$47</f>
        <v/>
      </c>
      <c r="S58" s="851">
        <f>+S12*$P$47</f>
        <v/>
      </c>
      <c r="T58" s="851" t="n"/>
      <c r="U58" s="851" t="n"/>
      <c r="V58" s="851" t="n"/>
      <c r="W58" s="851" t="n"/>
      <c r="X58" s="851" t="n"/>
      <c r="Y58" s="851" t="n"/>
      <c r="Z58" s="851" t="n"/>
      <c r="AA58" s="851" t="n"/>
      <c r="AB58" s="851" t="n"/>
      <c r="AC58" s="851" t="n"/>
      <c r="AD58" s="851" t="n"/>
      <c r="AE58" s="851" t="n"/>
      <c r="AF58" s="851">
        <f>+AF12*$P$47</f>
        <v/>
      </c>
      <c r="AG58" s="851">
        <f>+AG12*$P$47</f>
        <v/>
      </c>
      <c r="AH58" s="851">
        <f>+AH12*$P$47</f>
        <v/>
      </c>
      <c r="AI58" s="851">
        <f>+AI12*$P$47</f>
        <v/>
      </c>
      <c r="AJ58" s="852">
        <f>IF(AI57&lt;&gt;0,AI57/AH57,0)</f>
        <v/>
      </c>
      <c r="AK58" s="681" t="n"/>
      <c r="AL58" s="681" t="n"/>
      <c r="AM58" s="681" t="n"/>
      <c r="AN58" s="681" t="n"/>
    </row>
    <row r="59" hidden="1" outlineLevel="1" ht="14" customFormat="1" customHeight="1" s="838">
      <c r="A59" s="846">
        <f>+A13</f>
        <v/>
      </c>
      <c r="B59" s="846">
        <f>+B13</f>
        <v/>
      </c>
      <c r="C59" s="846">
        <f>+C13</f>
        <v/>
      </c>
      <c r="D59" s="846">
        <f>+D13</f>
        <v/>
      </c>
      <c r="E59" s="846">
        <f>+E13</f>
        <v/>
      </c>
      <c r="F59" s="848">
        <f>+F13*$P$47</f>
        <v/>
      </c>
      <c r="G59" s="848">
        <f>+G13*$P$47</f>
        <v/>
      </c>
      <c r="H59" s="848">
        <f>+H13*$P$47</f>
        <v/>
      </c>
      <c r="I59" s="848">
        <f>+I13*$P$47</f>
        <v/>
      </c>
      <c r="J59" s="848">
        <f>+J13*$P$47</f>
        <v/>
      </c>
      <c r="K59" s="848">
        <f>+K13*$P$47</f>
        <v/>
      </c>
      <c r="L59" s="848">
        <f>+L13*$P$47</f>
        <v/>
      </c>
      <c r="M59" s="848">
        <f>+M13*$P$47</f>
        <v/>
      </c>
      <c r="N59" s="848">
        <f>+N13*$P$47</f>
        <v/>
      </c>
      <c r="O59" s="848">
        <f>+O13*$P$47</f>
        <v/>
      </c>
      <c r="P59" s="848">
        <f>+P13*$P$47</f>
        <v/>
      </c>
      <c r="Q59" s="848">
        <f>+Q13*$P$47</f>
        <v/>
      </c>
      <c r="R59" s="848">
        <f>+R13*$P$47</f>
        <v/>
      </c>
      <c r="S59" s="848">
        <f>+S13*$P$47</f>
        <v/>
      </c>
      <c r="T59" s="848" t="n"/>
      <c r="U59" s="848" t="n"/>
      <c r="V59" s="848" t="n"/>
      <c r="W59" s="848" t="n"/>
      <c r="X59" s="848" t="n"/>
      <c r="Y59" s="848" t="n"/>
      <c r="Z59" s="848" t="n"/>
      <c r="AA59" s="848" t="n"/>
      <c r="AB59" s="848" t="n"/>
      <c r="AC59" s="848" t="n"/>
      <c r="AD59" s="848" t="n"/>
      <c r="AE59" s="848" t="n"/>
      <c r="AF59" s="848">
        <f>+AF13*$P$47</f>
        <v/>
      </c>
      <c r="AG59" s="848">
        <f>+AG13*$P$47</f>
        <v/>
      </c>
      <c r="AH59" s="848">
        <f>+AH13*$P$47</f>
        <v/>
      </c>
      <c r="AI59" s="848">
        <f>+AI13*$P$47</f>
        <v/>
      </c>
      <c r="AJ59" s="853">
        <f>IF(AI58&lt;&gt;0,AI58/AH58,0)</f>
        <v/>
      </c>
      <c r="AK59" s="686" t="n"/>
      <c r="AL59" s="686" t="n"/>
      <c r="AM59" s="686" t="n"/>
      <c r="AN59" s="686" t="n"/>
    </row>
    <row r="60" hidden="1" outlineLevel="1" ht="14" customFormat="1" customHeight="1" s="844">
      <c r="A60" s="850">
        <f>+A14</f>
        <v/>
      </c>
      <c r="B60" s="850">
        <f>+B14</f>
        <v/>
      </c>
      <c r="C60" s="850">
        <f>+C14</f>
        <v/>
      </c>
      <c r="D60" s="850">
        <f>+D14</f>
        <v/>
      </c>
      <c r="E60" s="850">
        <f>+E14</f>
        <v/>
      </c>
      <c r="F60" s="851">
        <f>+F14*$P$47</f>
        <v/>
      </c>
      <c r="G60" s="851">
        <f>+G14*$P$47</f>
        <v/>
      </c>
      <c r="H60" s="851">
        <f>+H14*$P$47</f>
        <v/>
      </c>
      <c r="I60" s="851">
        <f>+I14*$P$47</f>
        <v/>
      </c>
      <c r="J60" s="851">
        <f>+J14*$P$47</f>
        <v/>
      </c>
      <c r="K60" s="851">
        <f>+K14*$P$47</f>
        <v/>
      </c>
      <c r="L60" s="851">
        <f>+L14*$P$47</f>
        <v/>
      </c>
      <c r="M60" s="851">
        <f>+M14*$P$47</f>
        <v/>
      </c>
      <c r="N60" s="851">
        <f>+N14*$P$47</f>
        <v/>
      </c>
      <c r="O60" s="851">
        <f>+O14*$P$47</f>
        <v/>
      </c>
      <c r="P60" s="851">
        <f>+P14*$P$47</f>
        <v/>
      </c>
      <c r="Q60" s="851">
        <f>+Q14*$P$47</f>
        <v/>
      </c>
      <c r="R60" s="851">
        <f>+R14*$P$47</f>
        <v/>
      </c>
      <c r="S60" s="851">
        <f>+S14*$P$47</f>
        <v/>
      </c>
      <c r="T60" s="851" t="n"/>
      <c r="U60" s="851" t="n"/>
      <c r="V60" s="851" t="n"/>
      <c r="W60" s="851" t="n"/>
      <c r="X60" s="851" t="n"/>
      <c r="Y60" s="851" t="n"/>
      <c r="Z60" s="851" t="n"/>
      <c r="AA60" s="851" t="n"/>
      <c r="AB60" s="851" t="n"/>
      <c r="AC60" s="851" t="n"/>
      <c r="AD60" s="851" t="n"/>
      <c r="AE60" s="851" t="n"/>
      <c r="AF60" s="851">
        <f>+AF14*$P$47</f>
        <v/>
      </c>
      <c r="AG60" s="851">
        <f>+AG14*$P$47</f>
        <v/>
      </c>
      <c r="AH60" s="851">
        <f>+AH14*$P$47</f>
        <v/>
      </c>
      <c r="AI60" s="851">
        <f>+AI14*$P$47</f>
        <v/>
      </c>
      <c r="AJ60" s="852">
        <f>IF(AI59&lt;&gt;0,AI59/AH59,0)</f>
        <v/>
      </c>
      <c r="AK60" s="681" t="n"/>
      <c r="AL60" s="681" t="n"/>
      <c r="AM60" s="681" t="n"/>
      <c r="AN60" s="681" t="n"/>
    </row>
    <row r="61" hidden="1" outlineLevel="1" ht="14" customFormat="1" customHeight="1" s="838">
      <c r="A61" s="846">
        <f>+A15</f>
        <v/>
      </c>
      <c r="B61" s="846">
        <f>+B15</f>
        <v/>
      </c>
      <c r="C61" s="846">
        <f>+C15</f>
        <v/>
      </c>
      <c r="D61" s="846">
        <f>+D15</f>
        <v/>
      </c>
      <c r="E61" s="846">
        <f>+E15</f>
        <v/>
      </c>
      <c r="F61" s="848">
        <f>+F15*$P$47</f>
        <v/>
      </c>
      <c r="G61" s="848">
        <f>+G15*$P$47</f>
        <v/>
      </c>
      <c r="H61" s="848">
        <f>+H15*$P$47</f>
        <v/>
      </c>
      <c r="I61" s="848">
        <f>+I15*$P$47</f>
        <v/>
      </c>
      <c r="J61" s="848">
        <f>+J15*$P$47</f>
        <v/>
      </c>
      <c r="K61" s="848">
        <f>+K15*$P$47</f>
        <v/>
      </c>
      <c r="L61" s="848">
        <f>+L15*$P$47</f>
        <v/>
      </c>
      <c r="M61" s="848">
        <f>+M15*$P$47</f>
        <v/>
      </c>
      <c r="N61" s="848">
        <f>+N15*$P$47</f>
        <v/>
      </c>
      <c r="O61" s="848">
        <f>+O15*$P$47</f>
        <v/>
      </c>
      <c r="P61" s="848">
        <f>+P15*$P$47</f>
        <v/>
      </c>
      <c r="Q61" s="848">
        <f>+Q15*$P$47</f>
        <v/>
      </c>
      <c r="R61" s="848">
        <f>+R15*$P$47</f>
        <v/>
      </c>
      <c r="S61" s="848">
        <f>+S15*$P$47</f>
        <v/>
      </c>
      <c r="T61" s="848" t="n"/>
      <c r="U61" s="848" t="n"/>
      <c r="V61" s="848" t="n"/>
      <c r="W61" s="848" t="n"/>
      <c r="X61" s="848" t="n"/>
      <c r="Y61" s="848" t="n"/>
      <c r="Z61" s="848" t="n"/>
      <c r="AA61" s="848" t="n"/>
      <c r="AB61" s="848" t="n"/>
      <c r="AC61" s="848" t="n"/>
      <c r="AD61" s="848" t="n"/>
      <c r="AE61" s="848" t="n"/>
      <c r="AF61" s="848">
        <f>+AF15*$P$47</f>
        <v/>
      </c>
      <c r="AG61" s="848">
        <f>+AG15*$P$47</f>
        <v/>
      </c>
      <c r="AH61" s="848">
        <f>+AH15*$P$47</f>
        <v/>
      </c>
      <c r="AI61" s="848">
        <f>+AI15*$P$47</f>
        <v/>
      </c>
      <c r="AJ61" s="853">
        <f>IF(AI60&lt;&gt;0,AI60/AH60,0)</f>
        <v/>
      </c>
      <c r="AK61" s="686" t="n"/>
      <c r="AL61" s="686" t="n"/>
      <c r="AM61" s="686" t="n"/>
      <c r="AN61" s="686" t="n"/>
    </row>
    <row r="62" hidden="1" outlineLevel="1" ht="14" customFormat="1" customHeight="1" s="838">
      <c r="A62" s="850">
        <f>+A16</f>
        <v/>
      </c>
      <c r="B62" s="850">
        <f>+B16</f>
        <v/>
      </c>
      <c r="C62" s="850">
        <f>+C16</f>
        <v/>
      </c>
      <c r="D62" s="850">
        <f>+D16</f>
        <v/>
      </c>
      <c r="E62" s="850">
        <f>+E16</f>
        <v/>
      </c>
      <c r="F62" s="851">
        <f>+F16*$P$47</f>
        <v/>
      </c>
      <c r="G62" s="851">
        <f>+G16*$P$47</f>
        <v/>
      </c>
      <c r="H62" s="851">
        <f>+H16*$P$47</f>
        <v/>
      </c>
      <c r="I62" s="851">
        <f>+I16*$P$47</f>
        <v/>
      </c>
      <c r="J62" s="851">
        <f>+J16*$P$47</f>
        <v/>
      </c>
      <c r="K62" s="851">
        <f>+K16*$P$47</f>
        <v/>
      </c>
      <c r="L62" s="851">
        <f>+L16*$P$47</f>
        <v/>
      </c>
      <c r="M62" s="851">
        <f>+M16*$P$47</f>
        <v/>
      </c>
      <c r="N62" s="851">
        <f>+N16*$P$47</f>
        <v/>
      </c>
      <c r="O62" s="851">
        <f>+O16*$P$47</f>
        <v/>
      </c>
      <c r="P62" s="851">
        <f>+P16*$P$47</f>
        <v/>
      </c>
      <c r="Q62" s="851">
        <f>+Q16*$P$47</f>
        <v/>
      </c>
      <c r="R62" s="851">
        <f>+R16*$P$47</f>
        <v/>
      </c>
      <c r="S62" s="851">
        <f>+S16*$P$47</f>
        <v/>
      </c>
      <c r="T62" s="851" t="n"/>
      <c r="U62" s="851" t="n"/>
      <c r="V62" s="851" t="n"/>
      <c r="W62" s="851" t="n"/>
      <c r="X62" s="851" t="n"/>
      <c r="Y62" s="851" t="n"/>
      <c r="Z62" s="851" t="n"/>
      <c r="AA62" s="851" t="n"/>
      <c r="AB62" s="851" t="n"/>
      <c r="AC62" s="851" t="n"/>
      <c r="AD62" s="851" t="n"/>
      <c r="AE62" s="851" t="n"/>
      <c r="AF62" s="851">
        <f>+AF16*$P$47</f>
        <v/>
      </c>
      <c r="AG62" s="851">
        <f>+AG16*$P$47</f>
        <v/>
      </c>
      <c r="AH62" s="851">
        <f>+AH16*$P$47</f>
        <v/>
      </c>
      <c r="AI62" s="851">
        <f>+AI16*$P$47</f>
        <v/>
      </c>
      <c r="AJ62" s="852">
        <f>IF(AI61&lt;&gt;0,AI61/AH61,0)</f>
        <v/>
      </c>
      <c r="AK62" s="681" t="n"/>
      <c r="AL62" s="681" t="n"/>
      <c r="AM62" s="681" t="n"/>
      <c r="AN62" s="681" t="n"/>
    </row>
    <row r="63" hidden="1" outlineLevel="1" ht="14" customFormat="1" customHeight="1" s="844">
      <c r="A63" s="846">
        <f>+A17</f>
        <v/>
      </c>
      <c r="B63" s="846">
        <f>+B17</f>
        <v/>
      </c>
      <c r="C63" s="846">
        <f>+C17</f>
        <v/>
      </c>
      <c r="D63" s="846">
        <f>+D17</f>
        <v/>
      </c>
      <c r="E63" s="846">
        <f>+E17</f>
        <v/>
      </c>
      <c r="F63" s="848">
        <f>+F17*$P$47</f>
        <v/>
      </c>
      <c r="G63" s="848">
        <f>+G17*$P$47</f>
        <v/>
      </c>
      <c r="H63" s="848">
        <f>+H17*$P$47</f>
        <v/>
      </c>
      <c r="I63" s="848">
        <f>+I17*$P$47</f>
        <v/>
      </c>
      <c r="J63" s="848">
        <f>+J17*$P$47</f>
        <v/>
      </c>
      <c r="K63" s="848">
        <f>+K17*$P$47</f>
        <v/>
      </c>
      <c r="L63" s="848">
        <f>+L17*$P$47</f>
        <v/>
      </c>
      <c r="M63" s="848">
        <f>+M17*$P$47</f>
        <v/>
      </c>
      <c r="N63" s="848">
        <f>+N17*$P$47</f>
        <v/>
      </c>
      <c r="O63" s="848">
        <f>+O17*$P$47</f>
        <v/>
      </c>
      <c r="P63" s="848">
        <f>+P17*$P$47</f>
        <v/>
      </c>
      <c r="Q63" s="848">
        <f>+Q17*$P$47</f>
        <v/>
      </c>
      <c r="R63" s="848">
        <f>+R17*$P$47</f>
        <v/>
      </c>
      <c r="S63" s="848">
        <f>+S17*$P$47</f>
        <v/>
      </c>
      <c r="T63" s="848" t="n"/>
      <c r="U63" s="848" t="n"/>
      <c r="V63" s="848" t="n"/>
      <c r="W63" s="848" t="n"/>
      <c r="X63" s="848" t="n"/>
      <c r="Y63" s="848" t="n"/>
      <c r="Z63" s="848" t="n"/>
      <c r="AA63" s="848" t="n"/>
      <c r="AB63" s="848" t="n"/>
      <c r="AC63" s="848" t="n"/>
      <c r="AD63" s="848" t="n"/>
      <c r="AE63" s="848" t="n"/>
      <c r="AF63" s="848">
        <f>+AF17*$P$47</f>
        <v/>
      </c>
      <c r="AG63" s="848">
        <f>+AG17*$P$47</f>
        <v/>
      </c>
      <c r="AH63" s="848">
        <f>+AH17*$P$47</f>
        <v/>
      </c>
      <c r="AI63" s="848">
        <f>+AI17*$P$47</f>
        <v/>
      </c>
      <c r="AJ63" s="853">
        <f>IF(AI62&lt;&gt;0,AI62/AH62,0)</f>
        <v/>
      </c>
      <c r="AK63" s="686" t="n"/>
      <c r="AL63" s="686" t="n"/>
      <c r="AM63" s="686" t="n"/>
      <c r="AN63" s="686" t="n"/>
    </row>
    <row r="64" hidden="1" outlineLevel="1" ht="14" customFormat="1" customHeight="1" s="844">
      <c r="A64" s="850">
        <f>+A18</f>
        <v/>
      </c>
      <c r="B64" s="850">
        <f>+B18</f>
        <v/>
      </c>
      <c r="C64" s="850">
        <f>+C18</f>
        <v/>
      </c>
      <c r="D64" s="850">
        <f>+D18</f>
        <v/>
      </c>
      <c r="E64" s="850">
        <f>+E18</f>
        <v/>
      </c>
      <c r="F64" s="851">
        <f>+F18*$P$47</f>
        <v/>
      </c>
      <c r="G64" s="851">
        <f>+G18*$P$47</f>
        <v/>
      </c>
      <c r="H64" s="851">
        <f>+H18*$P$47</f>
        <v/>
      </c>
      <c r="I64" s="851">
        <f>+I18*$P$47</f>
        <v/>
      </c>
      <c r="J64" s="851">
        <f>+J18*$P$47</f>
        <v/>
      </c>
      <c r="K64" s="851">
        <f>+K18*$P$47</f>
        <v/>
      </c>
      <c r="L64" s="851">
        <f>+L18*$P$47</f>
        <v/>
      </c>
      <c r="M64" s="851">
        <f>+M18*$P$47</f>
        <v/>
      </c>
      <c r="N64" s="851">
        <f>+N18*$P$47</f>
        <v/>
      </c>
      <c r="O64" s="851">
        <f>+O18*$P$47</f>
        <v/>
      </c>
      <c r="P64" s="851">
        <f>+P18*$P$47</f>
        <v/>
      </c>
      <c r="Q64" s="851">
        <f>+Q18*$P$47</f>
        <v/>
      </c>
      <c r="R64" s="851">
        <f>+R18*$P$47</f>
        <v/>
      </c>
      <c r="S64" s="851">
        <f>+S18*$P$47</f>
        <v/>
      </c>
      <c r="T64" s="851" t="n"/>
      <c r="U64" s="851" t="n"/>
      <c r="V64" s="851" t="n"/>
      <c r="W64" s="851" t="n"/>
      <c r="X64" s="851" t="n"/>
      <c r="Y64" s="851" t="n"/>
      <c r="Z64" s="851" t="n"/>
      <c r="AA64" s="851" t="n"/>
      <c r="AB64" s="851" t="n"/>
      <c r="AC64" s="851" t="n"/>
      <c r="AD64" s="851" t="n"/>
      <c r="AE64" s="851" t="n"/>
      <c r="AF64" s="851">
        <f>+AF18*$P$47</f>
        <v/>
      </c>
      <c r="AG64" s="851">
        <f>+AG18*$P$47</f>
        <v/>
      </c>
      <c r="AH64" s="851">
        <f>+AH18*$P$47</f>
        <v/>
      </c>
      <c r="AI64" s="851">
        <f>+AI18*$P$47</f>
        <v/>
      </c>
      <c r="AJ64" s="852">
        <f>IF(AI63&lt;&gt;0,AI63/AH63,0)</f>
        <v/>
      </c>
      <c r="AK64" s="681" t="n"/>
      <c r="AL64" s="681" t="n"/>
      <c r="AM64" s="681" t="n"/>
      <c r="AN64" s="681" t="n"/>
    </row>
    <row r="65" hidden="1" outlineLevel="1" ht="14" customFormat="1" customHeight="1" s="844">
      <c r="A65" s="846">
        <f>+A19</f>
        <v/>
      </c>
      <c r="B65" s="846">
        <f>+B19</f>
        <v/>
      </c>
      <c r="C65" s="846">
        <f>+C19</f>
        <v/>
      </c>
      <c r="D65" s="846">
        <f>+D19</f>
        <v/>
      </c>
      <c r="E65" s="846">
        <f>+E19</f>
        <v/>
      </c>
      <c r="F65" s="848">
        <f>+F19*$P$47</f>
        <v/>
      </c>
      <c r="G65" s="848">
        <f>+G19*$P$47</f>
        <v/>
      </c>
      <c r="H65" s="848">
        <f>+H19*$P$47</f>
        <v/>
      </c>
      <c r="I65" s="848">
        <f>+I19*$P$47</f>
        <v/>
      </c>
      <c r="J65" s="848">
        <f>+J19*$P$47</f>
        <v/>
      </c>
      <c r="K65" s="848">
        <f>+K19*$P$47</f>
        <v/>
      </c>
      <c r="L65" s="848">
        <f>+L19*$P$47</f>
        <v/>
      </c>
      <c r="M65" s="848">
        <f>+M19*$P$47</f>
        <v/>
      </c>
      <c r="N65" s="848">
        <f>+N19*$P$47</f>
        <v/>
      </c>
      <c r="O65" s="848">
        <f>+O19*$P$47</f>
        <v/>
      </c>
      <c r="P65" s="848">
        <f>+P19*$P$47</f>
        <v/>
      </c>
      <c r="Q65" s="848">
        <f>+Q19*$P$47</f>
        <v/>
      </c>
      <c r="R65" s="848">
        <f>+R19*$P$47</f>
        <v/>
      </c>
      <c r="S65" s="848">
        <f>+S19*$P$47</f>
        <v/>
      </c>
      <c r="T65" s="848" t="n"/>
      <c r="U65" s="848" t="n"/>
      <c r="V65" s="848" t="n"/>
      <c r="W65" s="848" t="n"/>
      <c r="X65" s="848" t="n"/>
      <c r="Y65" s="848" t="n"/>
      <c r="Z65" s="848" t="n"/>
      <c r="AA65" s="848" t="n"/>
      <c r="AB65" s="848" t="n"/>
      <c r="AC65" s="848" t="n"/>
      <c r="AD65" s="848" t="n"/>
      <c r="AE65" s="848" t="n"/>
      <c r="AF65" s="848">
        <f>+AF19*$P$47</f>
        <v/>
      </c>
      <c r="AG65" s="848">
        <f>+AG19*$P$47</f>
        <v/>
      </c>
      <c r="AH65" s="848">
        <f>+AH19*$P$47</f>
        <v/>
      </c>
      <c r="AI65" s="848">
        <f>+AI19*$P$47</f>
        <v/>
      </c>
      <c r="AJ65" s="853">
        <f>IF(AI64&lt;&gt;0,AI64/AH64,0)</f>
        <v/>
      </c>
      <c r="AK65" s="686" t="n"/>
      <c r="AL65" s="686" t="n"/>
      <c r="AM65" s="686" t="n"/>
      <c r="AN65" s="686" t="n"/>
    </row>
    <row r="66" hidden="1" outlineLevel="1" ht="14" customFormat="1" customHeight="1" s="838">
      <c r="A66" s="850">
        <f>+A20</f>
        <v/>
      </c>
      <c r="B66" s="850">
        <f>+B20</f>
        <v/>
      </c>
      <c r="C66" s="850">
        <f>+C20</f>
        <v/>
      </c>
      <c r="D66" s="850">
        <f>+D20</f>
        <v/>
      </c>
      <c r="E66" s="850">
        <f>+E20</f>
        <v/>
      </c>
      <c r="F66" s="851">
        <f>+F20*$P$47</f>
        <v/>
      </c>
      <c r="G66" s="851">
        <f>+G20*$P$47</f>
        <v/>
      </c>
      <c r="H66" s="851">
        <f>+H20*$P$47</f>
        <v/>
      </c>
      <c r="I66" s="851">
        <f>+I20*$P$47</f>
        <v/>
      </c>
      <c r="J66" s="851">
        <f>+J20*$P$47</f>
        <v/>
      </c>
      <c r="K66" s="851">
        <f>+K20*$P$47</f>
        <v/>
      </c>
      <c r="L66" s="851">
        <f>+L20*$P$47</f>
        <v/>
      </c>
      <c r="M66" s="851">
        <f>+M20*$P$47</f>
        <v/>
      </c>
      <c r="N66" s="851">
        <f>+N20*$P$47</f>
        <v/>
      </c>
      <c r="O66" s="851">
        <f>+O20*$P$47</f>
        <v/>
      </c>
      <c r="P66" s="851">
        <f>+P20*$P$47</f>
        <v/>
      </c>
      <c r="Q66" s="851">
        <f>+Q20*$P$47</f>
        <v/>
      </c>
      <c r="R66" s="851">
        <f>+R20*$P$47</f>
        <v/>
      </c>
      <c r="S66" s="851">
        <f>+S20*$P$47</f>
        <v/>
      </c>
      <c r="T66" s="851" t="n"/>
      <c r="U66" s="851" t="n"/>
      <c r="V66" s="851" t="n"/>
      <c r="W66" s="851" t="n"/>
      <c r="X66" s="851" t="n"/>
      <c r="Y66" s="851" t="n"/>
      <c r="Z66" s="851" t="n"/>
      <c r="AA66" s="851" t="n"/>
      <c r="AB66" s="851" t="n"/>
      <c r="AC66" s="851" t="n"/>
      <c r="AD66" s="851" t="n"/>
      <c r="AE66" s="851" t="n"/>
      <c r="AF66" s="851">
        <f>+AF20*$P$47</f>
        <v/>
      </c>
      <c r="AG66" s="851">
        <f>+AG20*$P$47</f>
        <v/>
      </c>
      <c r="AH66" s="851">
        <f>+AH20*$P$47</f>
        <v/>
      </c>
      <c r="AI66" s="851">
        <f>+AI20*$P$47</f>
        <v/>
      </c>
      <c r="AJ66" s="852">
        <f>IF(AI65&lt;&gt;0,AI65/AH65,0)</f>
        <v/>
      </c>
      <c r="AK66" s="681" t="n"/>
      <c r="AL66" s="681" t="n"/>
      <c r="AM66" s="681" t="n"/>
      <c r="AN66" s="681" t="n"/>
    </row>
    <row r="67" hidden="1" outlineLevel="1" ht="14" customFormat="1" customHeight="1" s="838">
      <c r="A67" s="846">
        <f>+A21</f>
        <v/>
      </c>
      <c r="B67" s="846">
        <f>+B21</f>
        <v/>
      </c>
      <c r="C67" s="846">
        <f>+C21</f>
        <v/>
      </c>
      <c r="D67" s="846">
        <f>+D21</f>
        <v/>
      </c>
      <c r="E67" s="846">
        <f>+E21</f>
        <v/>
      </c>
      <c r="F67" s="848">
        <f>+F21*$P$47</f>
        <v/>
      </c>
      <c r="G67" s="848">
        <f>+G21*$P$47</f>
        <v/>
      </c>
      <c r="H67" s="848">
        <f>+H21*$P$47</f>
        <v/>
      </c>
      <c r="I67" s="848">
        <f>+I21*$P$47</f>
        <v/>
      </c>
      <c r="J67" s="848">
        <f>+J21*$P$47</f>
        <v/>
      </c>
      <c r="K67" s="848">
        <f>+K21*$P$47</f>
        <v/>
      </c>
      <c r="L67" s="848">
        <f>+L21*$P$47</f>
        <v/>
      </c>
      <c r="M67" s="848">
        <f>+M21*$P$47</f>
        <v/>
      </c>
      <c r="N67" s="848">
        <f>+N21*$P$47</f>
        <v/>
      </c>
      <c r="O67" s="848">
        <f>+O21*$P$47</f>
        <v/>
      </c>
      <c r="P67" s="848">
        <f>+P21*$P$47</f>
        <v/>
      </c>
      <c r="Q67" s="848">
        <f>+Q21*$P$47</f>
        <v/>
      </c>
      <c r="R67" s="848">
        <f>+R21*$P$47</f>
        <v/>
      </c>
      <c r="S67" s="848">
        <f>+S21*$P$47</f>
        <v/>
      </c>
      <c r="T67" s="848" t="n"/>
      <c r="U67" s="848" t="n"/>
      <c r="V67" s="848" t="n"/>
      <c r="W67" s="848" t="n"/>
      <c r="X67" s="848" t="n"/>
      <c r="Y67" s="848" t="n"/>
      <c r="Z67" s="848" t="n"/>
      <c r="AA67" s="848" t="n"/>
      <c r="AB67" s="848" t="n"/>
      <c r="AC67" s="848" t="n"/>
      <c r="AD67" s="848" t="n"/>
      <c r="AE67" s="848" t="n"/>
      <c r="AF67" s="848">
        <f>+AF21*$P$47</f>
        <v/>
      </c>
      <c r="AG67" s="848">
        <f>+AG21*$P$47</f>
        <v/>
      </c>
      <c r="AH67" s="848">
        <f>+AH21*$P$47</f>
        <v/>
      </c>
      <c r="AI67" s="848">
        <f>+AI21*$P$47</f>
        <v/>
      </c>
      <c r="AJ67" s="853">
        <f>IF(AI66&lt;&gt;0,AI66/AH66,0)</f>
        <v/>
      </c>
      <c r="AK67" s="686" t="n"/>
      <c r="AL67" s="686" t="n"/>
      <c r="AM67" s="686" t="n"/>
      <c r="AN67" s="686" t="n"/>
    </row>
    <row r="68" hidden="1" outlineLevel="1" ht="14" customFormat="1" customHeight="1" s="838">
      <c r="A68" s="850">
        <f>+A22</f>
        <v/>
      </c>
      <c r="B68" s="850">
        <f>+B22</f>
        <v/>
      </c>
      <c r="C68" s="850">
        <f>+C22</f>
        <v/>
      </c>
      <c r="D68" s="850">
        <f>+D22</f>
        <v/>
      </c>
      <c r="E68" s="850">
        <f>+E22</f>
        <v/>
      </c>
      <c r="F68" s="851">
        <f>+F22*$P$47</f>
        <v/>
      </c>
      <c r="G68" s="851">
        <f>+G22*$P$47</f>
        <v/>
      </c>
      <c r="H68" s="851">
        <f>+H22*$P$47</f>
        <v/>
      </c>
      <c r="I68" s="851">
        <f>+I22*$P$47</f>
        <v/>
      </c>
      <c r="J68" s="851">
        <f>+J22*$P$47</f>
        <v/>
      </c>
      <c r="K68" s="851">
        <f>+K22*$P$47</f>
        <v/>
      </c>
      <c r="L68" s="851">
        <f>+L22*$P$47</f>
        <v/>
      </c>
      <c r="M68" s="851">
        <f>+M22*$P$47</f>
        <v/>
      </c>
      <c r="N68" s="851">
        <f>+N22*$P$47</f>
        <v/>
      </c>
      <c r="O68" s="851">
        <f>+O22*$P$47</f>
        <v/>
      </c>
      <c r="P68" s="851">
        <f>+P22*$P$47</f>
        <v/>
      </c>
      <c r="Q68" s="851">
        <f>+Q22*$P$47</f>
        <v/>
      </c>
      <c r="R68" s="851">
        <f>+R22*$P$47</f>
        <v/>
      </c>
      <c r="S68" s="851">
        <f>+S22*$P$47</f>
        <v/>
      </c>
      <c r="T68" s="851" t="n"/>
      <c r="U68" s="851" t="n"/>
      <c r="V68" s="851" t="n"/>
      <c r="W68" s="851" t="n"/>
      <c r="X68" s="851" t="n"/>
      <c r="Y68" s="851" t="n"/>
      <c r="Z68" s="851" t="n"/>
      <c r="AA68" s="851" t="n"/>
      <c r="AB68" s="851" t="n"/>
      <c r="AC68" s="851" t="n"/>
      <c r="AD68" s="851" t="n"/>
      <c r="AE68" s="851" t="n"/>
      <c r="AF68" s="851">
        <f>+AF22*$P$47</f>
        <v/>
      </c>
      <c r="AG68" s="851">
        <f>+AG22*$P$47</f>
        <v/>
      </c>
      <c r="AH68" s="851">
        <f>+AH22*$P$47</f>
        <v/>
      </c>
      <c r="AI68" s="851">
        <f>+AI22*$P$47</f>
        <v/>
      </c>
      <c r="AJ68" s="852">
        <f>IF(AI67&lt;&gt;0,AI67/AH67,0)</f>
        <v/>
      </c>
      <c r="AK68" s="681" t="n"/>
      <c r="AL68" s="681" t="n"/>
      <c r="AM68" s="681" t="n"/>
      <c r="AN68" s="681" t="n"/>
    </row>
    <row r="69" hidden="1" outlineLevel="1" ht="14" customFormat="1" customHeight="1" s="838">
      <c r="A69" s="846">
        <f>+A23</f>
        <v/>
      </c>
      <c r="B69" s="846">
        <f>+B23</f>
        <v/>
      </c>
      <c r="C69" s="846">
        <f>+C23</f>
        <v/>
      </c>
      <c r="D69" s="846">
        <f>+D23</f>
        <v/>
      </c>
      <c r="E69" s="846">
        <f>+E23</f>
        <v/>
      </c>
      <c r="F69" s="848">
        <f>+F23*$P$47</f>
        <v/>
      </c>
      <c r="G69" s="848">
        <f>+G23*$P$47</f>
        <v/>
      </c>
      <c r="H69" s="848">
        <f>+H23*$P$47</f>
        <v/>
      </c>
      <c r="I69" s="848">
        <f>+I23*$P$47</f>
        <v/>
      </c>
      <c r="J69" s="848">
        <f>+J23*$P$47</f>
        <v/>
      </c>
      <c r="K69" s="848">
        <f>+K23*$P$47</f>
        <v/>
      </c>
      <c r="L69" s="848">
        <f>+L23*$P$47</f>
        <v/>
      </c>
      <c r="M69" s="848">
        <f>+M23*$P$47</f>
        <v/>
      </c>
      <c r="N69" s="848">
        <f>+N23*$P$47</f>
        <v/>
      </c>
      <c r="O69" s="848">
        <f>+O23*$P$47</f>
        <v/>
      </c>
      <c r="P69" s="848">
        <f>+P23*$P$47</f>
        <v/>
      </c>
      <c r="Q69" s="848">
        <f>+Q23*$P$47</f>
        <v/>
      </c>
      <c r="R69" s="848">
        <f>+R23*$P$47</f>
        <v/>
      </c>
      <c r="S69" s="848">
        <f>+S23*$P$47</f>
        <v/>
      </c>
      <c r="T69" s="848" t="n"/>
      <c r="U69" s="848" t="n"/>
      <c r="V69" s="848" t="n"/>
      <c r="W69" s="848" t="n"/>
      <c r="X69" s="848" t="n"/>
      <c r="Y69" s="848" t="n"/>
      <c r="Z69" s="848" t="n"/>
      <c r="AA69" s="848" t="n"/>
      <c r="AB69" s="848" t="n"/>
      <c r="AC69" s="848" t="n"/>
      <c r="AD69" s="848" t="n"/>
      <c r="AE69" s="848" t="n"/>
      <c r="AF69" s="848">
        <f>+AF23*$P$47</f>
        <v/>
      </c>
      <c r="AG69" s="848">
        <f>+AG23*$P$47</f>
        <v/>
      </c>
      <c r="AH69" s="848">
        <f>+AH23*$P$47</f>
        <v/>
      </c>
      <c r="AI69" s="848">
        <f>+AI23*$P$47</f>
        <v/>
      </c>
      <c r="AJ69" s="853">
        <f>IF(AI68&lt;&gt;0,AI68/AH68,0)</f>
        <v/>
      </c>
      <c r="AK69" s="686" t="n"/>
      <c r="AL69" s="686" t="n"/>
      <c r="AM69" s="686" t="n"/>
      <c r="AN69" s="686" t="n"/>
    </row>
    <row r="70" hidden="1" outlineLevel="1" ht="14" customFormat="1" customHeight="1" s="838">
      <c r="A70" s="850">
        <f>+A24</f>
        <v/>
      </c>
      <c r="B70" s="850">
        <f>+B24</f>
        <v/>
      </c>
      <c r="C70" s="850">
        <f>+C24</f>
        <v/>
      </c>
      <c r="D70" s="850">
        <f>+D24</f>
        <v/>
      </c>
      <c r="E70" s="850">
        <f>+E24</f>
        <v/>
      </c>
      <c r="F70" s="851">
        <f>+F24*$P$47</f>
        <v/>
      </c>
      <c r="G70" s="851">
        <f>+G24*$P$47</f>
        <v/>
      </c>
      <c r="H70" s="851">
        <f>+H24*$P$47</f>
        <v/>
      </c>
      <c r="I70" s="851">
        <f>+I24*$P$47</f>
        <v/>
      </c>
      <c r="J70" s="851">
        <f>+J24*$P$47</f>
        <v/>
      </c>
      <c r="K70" s="851">
        <f>+K24*$P$47</f>
        <v/>
      </c>
      <c r="L70" s="851">
        <f>+L24*$P$47</f>
        <v/>
      </c>
      <c r="M70" s="851">
        <f>+M24*$P$47</f>
        <v/>
      </c>
      <c r="N70" s="851">
        <f>+N24*$P$47</f>
        <v/>
      </c>
      <c r="O70" s="851">
        <f>+O24*$P$47</f>
        <v/>
      </c>
      <c r="P70" s="851">
        <f>+P24*$P$47</f>
        <v/>
      </c>
      <c r="Q70" s="851">
        <f>+Q24*$P$47</f>
        <v/>
      </c>
      <c r="R70" s="851">
        <f>+R24*$P$47</f>
        <v/>
      </c>
      <c r="S70" s="851">
        <f>+S24*$P$47</f>
        <v/>
      </c>
      <c r="T70" s="851" t="n"/>
      <c r="U70" s="851" t="n"/>
      <c r="V70" s="851" t="n"/>
      <c r="W70" s="851" t="n"/>
      <c r="X70" s="851" t="n"/>
      <c r="Y70" s="851" t="n"/>
      <c r="Z70" s="851" t="n"/>
      <c r="AA70" s="851" t="n"/>
      <c r="AB70" s="851" t="n"/>
      <c r="AC70" s="851" t="n"/>
      <c r="AD70" s="851" t="n"/>
      <c r="AE70" s="851" t="n"/>
      <c r="AF70" s="851">
        <f>+AF24*$P$47</f>
        <v/>
      </c>
      <c r="AG70" s="851">
        <f>+AG24*$P$47</f>
        <v/>
      </c>
      <c r="AH70" s="851">
        <f>+AH24*$P$47</f>
        <v/>
      </c>
      <c r="AI70" s="851">
        <f>+AI24*$P$47</f>
        <v/>
      </c>
      <c r="AJ70" s="852">
        <f>IF(AI69&lt;&gt;0,AI69/AH69,0)</f>
        <v/>
      </c>
      <c r="AK70" s="681" t="n"/>
      <c r="AL70" s="681" t="n"/>
      <c r="AM70" s="681" t="n"/>
      <c r="AN70" s="681" t="n"/>
    </row>
    <row r="71" hidden="1" outlineLevel="1" ht="14" customFormat="1" customHeight="1" s="838">
      <c r="A71" s="846">
        <f>+A25</f>
        <v/>
      </c>
      <c r="B71" s="846">
        <f>+B25</f>
        <v/>
      </c>
      <c r="C71" s="846">
        <f>+C25</f>
        <v/>
      </c>
      <c r="D71" s="846">
        <f>+D25</f>
        <v/>
      </c>
      <c r="E71" s="846">
        <f>+E25</f>
        <v/>
      </c>
      <c r="F71" s="848">
        <f>+F25*$P$47</f>
        <v/>
      </c>
      <c r="G71" s="848">
        <f>+G25*$P$47</f>
        <v/>
      </c>
      <c r="H71" s="848">
        <f>+H25*$P$47</f>
        <v/>
      </c>
      <c r="I71" s="848">
        <f>+I25*$P$47</f>
        <v/>
      </c>
      <c r="J71" s="848">
        <f>+J25*$P$47</f>
        <v/>
      </c>
      <c r="K71" s="848">
        <f>+K25*$P$47</f>
        <v/>
      </c>
      <c r="L71" s="848">
        <f>+L25*$P$47</f>
        <v/>
      </c>
      <c r="M71" s="848">
        <f>+M25*$P$47</f>
        <v/>
      </c>
      <c r="N71" s="848">
        <f>+N25*$P$47</f>
        <v/>
      </c>
      <c r="O71" s="848">
        <f>+O25*$P$47</f>
        <v/>
      </c>
      <c r="P71" s="848">
        <f>+P25*$P$47</f>
        <v/>
      </c>
      <c r="Q71" s="848">
        <f>+Q25*$P$47</f>
        <v/>
      </c>
      <c r="R71" s="848">
        <f>+R25*$P$47</f>
        <v/>
      </c>
      <c r="S71" s="848">
        <f>+S25*$P$47</f>
        <v/>
      </c>
      <c r="T71" s="848" t="n"/>
      <c r="U71" s="848" t="n"/>
      <c r="V71" s="848" t="n"/>
      <c r="W71" s="848" t="n"/>
      <c r="X71" s="848" t="n"/>
      <c r="Y71" s="848" t="n"/>
      <c r="Z71" s="848" t="n"/>
      <c r="AA71" s="848" t="n"/>
      <c r="AB71" s="848" t="n"/>
      <c r="AC71" s="848" t="n"/>
      <c r="AD71" s="848" t="n"/>
      <c r="AE71" s="848" t="n"/>
      <c r="AF71" s="848">
        <f>+AF25*$P$47</f>
        <v/>
      </c>
      <c r="AG71" s="848">
        <f>+AG25*$P$47</f>
        <v/>
      </c>
      <c r="AH71" s="848">
        <f>+AH25*$P$47</f>
        <v/>
      </c>
      <c r="AI71" s="848">
        <f>+AI25*$P$47</f>
        <v/>
      </c>
      <c r="AJ71" s="853">
        <f>IF(AI70&lt;&gt;0,AI70/AH70,0)</f>
        <v/>
      </c>
      <c r="AK71" s="686" t="n"/>
      <c r="AL71" s="686" t="n"/>
      <c r="AM71" s="686" t="n"/>
      <c r="AN71" s="686" t="n"/>
    </row>
    <row r="72" hidden="1" outlineLevel="1" ht="14" customFormat="1" customHeight="1" s="838">
      <c r="A72" s="850">
        <f>+A26</f>
        <v/>
      </c>
      <c r="B72" s="850">
        <f>+B26</f>
        <v/>
      </c>
      <c r="C72" s="850">
        <f>+C26</f>
        <v/>
      </c>
      <c r="D72" s="850">
        <f>+D26</f>
        <v/>
      </c>
      <c r="E72" s="850">
        <f>+E26</f>
        <v/>
      </c>
      <c r="F72" s="851">
        <f>+F26*$P$47</f>
        <v/>
      </c>
      <c r="G72" s="851">
        <f>+G26*$P$47</f>
        <v/>
      </c>
      <c r="H72" s="851">
        <f>+H26*$P$47</f>
        <v/>
      </c>
      <c r="I72" s="851">
        <f>+I26*$P$47</f>
        <v/>
      </c>
      <c r="J72" s="851">
        <f>+J26*$P$47</f>
        <v/>
      </c>
      <c r="K72" s="851">
        <f>+K26*$P$47</f>
        <v/>
      </c>
      <c r="L72" s="851">
        <f>+L26*$P$47</f>
        <v/>
      </c>
      <c r="M72" s="851">
        <f>+M26*$P$47</f>
        <v/>
      </c>
      <c r="N72" s="851">
        <f>+N26*$P$47</f>
        <v/>
      </c>
      <c r="O72" s="851">
        <f>+O26*$P$47</f>
        <v/>
      </c>
      <c r="P72" s="851">
        <f>+P26*$P$47</f>
        <v/>
      </c>
      <c r="Q72" s="851">
        <f>+Q26*$P$47</f>
        <v/>
      </c>
      <c r="R72" s="851">
        <f>+R26*$P$47</f>
        <v/>
      </c>
      <c r="S72" s="851">
        <f>+S26*$P$47</f>
        <v/>
      </c>
      <c r="T72" s="851" t="n"/>
      <c r="U72" s="851" t="n"/>
      <c r="V72" s="851" t="n"/>
      <c r="W72" s="851" t="n"/>
      <c r="X72" s="851" t="n"/>
      <c r="Y72" s="851" t="n"/>
      <c r="Z72" s="851" t="n"/>
      <c r="AA72" s="851" t="n"/>
      <c r="AB72" s="851" t="n"/>
      <c r="AC72" s="851" t="n"/>
      <c r="AD72" s="851" t="n"/>
      <c r="AE72" s="851" t="n"/>
      <c r="AF72" s="851">
        <f>+AF26*$P$47</f>
        <v/>
      </c>
      <c r="AG72" s="851">
        <f>+AG26*$P$47</f>
        <v/>
      </c>
      <c r="AH72" s="851">
        <f>+AH26*$P$47</f>
        <v/>
      </c>
      <c r="AI72" s="851">
        <f>+AI26*$P$47</f>
        <v/>
      </c>
      <c r="AJ72" s="852">
        <f>IF(AI71&lt;&gt;0,AI71/AH71,0)</f>
        <v/>
      </c>
      <c r="AK72" s="681" t="n"/>
      <c r="AL72" s="681" t="n"/>
      <c r="AM72" s="681" t="n"/>
      <c r="AN72" s="681" t="n"/>
    </row>
    <row r="73" hidden="1" outlineLevel="1" ht="14" customFormat="1" customHeight="1" s="838">
      <c r="A73" s="846">
        <f>+A27</f>
        <v/>
      </c>
      <c r="B73" s="846">
        <f>+B27</f>
        <v/>
      </c>
      <c r="C73" s="846">
        <f>+C27</f>
        <v/>
      </c>
      <c r="D73" s="846">
        <f>+D27</f>
        <v/>
      </c>
      <c r="E73" s="846">
        <f>+E27</f>
        <v/>
      </c>
      <c r="F73" s="848">
        <f>+F27*$P$47</f>
        <v/>
      </c>
      <c r="G73" s="848">
        <f>+G27*$P$47</f>
        <v/>
      </c>
      <c r="H73" s="848">
        <f>+H27*$P$47</f>
        <v/>
      </c>
      <c r="I73" s="848">
        <f>+I27*$P$47</f>
        <v/>
      </c>
      <c r="J73" s="848">
        <f>+J27*$P$47</f>
        <v/>
      </c>
      <c r="K73" s="848">
        <f>+K27*$P$47</f>
        <v/>
      </c>
      <c r="L73" s="848">
        <f>+L27*$P$47</f>
        <v/>
      </c>
      <c r="M73" s="848">
        <f>+M27*$P$47</f>
        <v/>
      </c>
      <c r="N73" s="848">
        <f>+N27*$P$47</f>
        <v/>
      </c>
      <c r="O73" s="848">
        <f>+O27*$P$47</f>
        <v/>
      </c>
      <c r="P73" s="848">
        <f>+P27*$P$47</f>
        <v/>
      </c>
      <c r="Q73" s="848">
        <f>+Q27*$P$47</f>
        <v/>
      </c>
      <c r="R73" s="848">
        <f>+R27*$P$47</f>
        <v/>
      </c>
      <c r="S73" s="848">
        <f>+S27*$P$47</f>
        <v/>
      </c>
      <c r="T73" s="848" t="n"/>
      <c r="U73" s="848" t="n"/>
      <c r="V73" s="848" t="n"/>
      <c r="W73" s="848" t="n"/>
      <c r="X73" s="848" t="n"/>
      <c r="Y73" s="848" t="n"/>
      <c r="Z73" s="848" t="n"/>
      <c r="AA73" s="848" t="n"/>
      <c r="AB73" s="848" t="n"/>
      <c r="AC73" s="848" t="n"/>
      <c r="AD73" s="848" t="n"/>
      <c r="AE73" s="848" t="n"/>
      <c r="AF73" s="848">
        <f>+AF27*$P$47</f>
        <v/>
      </c>
      <c r="AG73" s="848">
        <f>+AG27*$P$47</f>
        <v/>
      </c>
      <c r="AH73" s="848">
        <f>+AH27*$P$47</f>
        <v/>
      </c>
      <c r="AI73" s="848">
        <f>+AI27*$P$47</f>
        <v/>
      </c>
      <c r="AJ73" s="853">
        <f>IF(AI72&lt;&gt;0,AI72/AH72,0)</f>
        <v/>
      </c>
      <c r="AK73" s="686" t="n"/>
      <c r="AL73" s="686" t="n"/>
      <c r="AM73" s="686" t="n"/>
      <c r="AN73" s="686" t="n"/>
    </row>
    <row r="74" hidden="1" outlineLevel="1" ht="14" customFormat="1" customHeight="1" s="838">
      <c r="A74" s="850">
        <f>+A28</f>
        <v/>
      </c>
      <c r="B74" s="850">
        <f>+B28</f>
        <v/>
      </c>
      <c r="C74" s="850">
        <f>+C28</f>
        <v/>
      </c>
      <c r="D74" s="850">
        <f>+D28</f>
        <v/>
      </c>
      <c r="E74" s="850">
        <f>+E28</f>
        <v/>
      </c>
      <c r="F74" s="851">
        <f>+F28*$P$47</f>
        <v/>
      </c>
      <c r="G74" s="851">
        <f>+G28*$P$47</f>
        <v/>
      </c>
      <c r="H74" s="851">
        <f>+H28*$P$47</f>
        <v/>
      </c>
      <c r="I74" s="851">
        <f>+I28*$P$47</f>
        <v/>
      </c>
      <c r="J74" s="851">
        <f>+J28*$P$47</f>
        <v/>
      </c>
      <c r="K74" s="851">
        <f>+K28*$P$47</f>
        <v/>
      </c>
      <c r="L74" s="851">
        <f>+L28*$P$47</f>
        <v/>
      </c>
      <c r="M74" s="851">
        <f>+M28*$P$47</f>
        <v/>
      </c>
      <c r="N74" s="851">
        <f>+N28*$P$47</f>
        <v/>
      </c>
      <c r="O74" s="851">
        <f>+O28*$P$47</f>
        <v/>
      </c>
      <c r="P74" s="851">
        <f>+P28*$P$47</f>
        <v/>
      </c>
      <c r="Q74" s="851">
        <f>+Q28*$P$47</f>
        <v/>
      </c>
      <c r="R74" s="851">
        <f>+R28*$P$47</f>
        <v/>
      </c>
      <c r="S74" s="851">
        <f>+S28*$P$47</f>
        <v/>
      </c>
      <c r="T74" s="851" t="n"/>
      <c r="U74" s="851" t="n"/>
      <c r="V74" s="851" t="n"/>
      <c r="W74" s="851" t="n"/>
      <c r="X74" s="851" t="n"/>
      <c r="Y74" s="851" t="n"/>
      <c r="Z74" s="851" t="n"/>
      <c r="AA74" s="851" t="n"/>
      <c r="AB74" s="851" t="n"/>
      <c r="AC74" s="851" t="n"/>
      <c r="AD74" s="851" t="n"/>
      <c r="AE74" s="851" t="n"/>
      <c r="AF74" s="851">
        <f>+AF28*$P$47</f>
        <v/>
      </c>
      <c r="AG74" s="851">
        <f>+AG28*$P$47</f>
        <v/>
      </c>
      <c r="AH74" s="851">
        <f>+AH28*$P$47</f>
        <v/>
      </c>
      <c r="AI74" s="851">
        <f>+AI28*$P$47</f>
        <v/>
      </c>
      <c r="AJ74" s="852">
        <f>IF(AI73&lt;&gt;0,AI73/AH73,0)</f>
        <v/>
      </c>
      <c r="AK74" s="681" t="n"/>
      <c r="AL74" s="681" t="n"/>
      <c r="AM74" s="681" t="n"/>
      <c r="AN74" s="681" t="n"/>
    </row>
    <row r="75" hidden="1" outlineLevel="1" ht="14" customFormat="1" customHeight="1" s="838">
      <c r="A75" s="846">
        <f>+A29</f>
        <v/>
      </c>
      <c r="B75" s="846">
        <f>+B29</f>
        <v/>
      </c>
      <c r="C75" s="846">
        <f>+C29</f>
        <v/>
      </c>
      <c r="D75" s="846">
        <f>+D29</f>
        <v/>
      </c>
      <c r="E75" s="846">
        <f>+E29</f>
        <v/>
      </c>
      <c r="F75" s="848">
        <f>+F29*$P$47</f>
        <v/>
      </c>
      <c r="G75" s="848">
        <f>+G29*$P$47</f>
        <v/>
      </c>
      <c r="H75" s="848">
        <f>+H29*$P$47</f>
        <v/>
      </c>
      <c r="I75" s="848">
        <f>+I29*$P$47</f>
        <v/>
      </c>
      <c r="J75" s="848">
        <f>+J29*$P$47</f>
        <v/>
      </c>
      <c r="K75" s="848">
        <f>+K29*$P$47</f>
        <v/>
      </c>
      <c r="L75" s="848">
        <f>+L29*$P$47</f>
        <v/>
      </c>
      <c r="M75" s="848">
        <f>+M29*$P$47</f>
        <v/>
      </c>
      <c r="N75" s="848">
        <f>+N29*$P$47</f>
        <v/>
      </c>
      <c r="O75" s="848">
        <f>+O29*$P$47</f>
        <v/>
      </c>
      <c r="P75" s="848">
        <f>+P29*$P$47</f>
        <v/>
      </c>
      <c r="Q75" s="848">
        <f>+Q29*$P$47</f>
        <v/>
      </c>
      <c r="R75" s="848">
        <f>+R29*$P$47</f>
        <v/>
      </c>
      <c r="S75" s="848">
        <f>+S29*$P$47</f>
        <v/>
      </c>
      <c r="T75" s="848" t="n"/>
      <c r="U75" s="848" t="n"/>
      <c r="V75" s="848" t="n"/>
      <c r="W75" s="848" t="n"/>
      <c r="X75" s="848" t="n"/>
      <c r="Y75" s="848" t="n"/>
      <c r="Z75" s="848" t="n"/>
      <c r="AA75" s="848" t="n"/>
      <c r="AB75" s="848" t="n"/>
      <c r="AC75" s="848" t="n"/>
      <c r="AD75" s="848" t="n"/>
      <c r="AE75" s="848" t="n"/>
      <c r="AF75" s="848">
        <f>+AF29*$P$47</f>
        <v/>
      </c>
      <c r="AG75" s="848">
        <f>+AG29*$P$47</f>
        <v/>
      </c>
      <c r="AH75" s="848">
        <f>+AH29*$P$47</f>
        <v/>
      </c>
      <c r="AI75" s="848">
        <f>+AI29*$P$47</f>
        <v/>
      </c>
      <c r="AJ75" s="853">
        <f>IF(AI74&lt;&gt;0,AI74/AH74,0)</f>
        <v/>
      </c>
      <c r="AK75" s="686" t="n"/>
      <c r="AL75" s="686" t="n"/>
      <c r="AM75" s="686" t="n"/>
      <c r="AN75" s="686" t="n"/>
    </row>
    <row r="76" hidden="1" outlineLevel="1" ht="14" customFormat="1" customHeight="1" s="838">
      <c r="A76" s="850">
        <f>+A30</f>
        <v/>
      </c>
      <c r="B76" s="850">
        <f>+B30</f>
        <v/>
      </c>
      <c r="C76" s="850">
        <f>+C30</f>
        <v/>
      </c>
      <c r="D76" s="850">
        <f>+D30</f>
        <v/>
      </c>
      <c r="E76" s="850">
        <f>+E30</f>
        <v/>
      </c>
      <c r="F76" s="851">
        <f>+F30*$P$47</f>
        <v/>
      </c>
      <c r="G76" s="851">
        <f>+G30*$P$47</f>
        <v/>
      </c>
      <c r="H76" s="851">
        <f>+H30*$P$47</f>
        <v/>
      </c>
      <c r="I76" s="851">
        <f>+I30*$P$47</f>
        <v/>
      </c>
      <c r="J76" s="851">
        <f>+J30*$P$47</f>
        <v/>
      </c>
      <c r="K76" s="851">
        <f>+K30*$P$47</f>
        <v/>
      </c>
      <c r="L76" s="851">
        <f>+L30*$P$47</f>
        <v/>
      </c>
      <c r="M76" s="851">
        <f>+M30*$P$47</f>
        <v/>
      </c>
      <c r="N76" s="851">
        <f>+N30*$P$47</f>
        <v/>
      </c>
      <c r="O76" s="851">
        <f>+O30*$P$47</f>
        <v/>
      </c>
      <c r="P76" s="851">
        <f>+P30*$P$47</f>
        <v/>
      </c>
      <c r="Q76" s="851">
        <f>+Q30*$P$47</f>
        <v/>
      </c>
      <c r="R76" s="851">
        <f>+R30*$P$47</f>
        <v/>
      </c>
      <c r="S76" s="851">
        <f>+S30*$P$47</f>
        <v/>
      </c>
      <c r="T76" s="851" t="n"/>
      <c r="U76" s="851" t="n"/>
      <c r="V76" s="851" t="n"/>
      <c r="W76" s="851" t="n"/>
      <c r="X76" s="851" t="n"/>
      <c r="Y76" s="851" t="n"/>
      <c r="Z76" s="851" t="n"/>
      <c r="AA76" s="851" t="n"/>
      <c r="AB76" s="851" t="n"/>
      <c r="AC76" s="851" t="n"/>
      <c r="AD76" s="851" t="n"/>
      <c r="AE76" s="851" t="n"/>
      <c r="AF76" s="851">
        <f>+AF30*$P$47</f>
        <v/>
      </c>
      <c r="AG76" s="851">
        <f>+AG30*$P$47</f>
        <v/>
      </c>
      <c r="AH76" s="851">
        <f>+AH30*$P$47</f>
        <v/>
      </c>
      <c r="AI76" s="851">
        <f>+AI30*$P$47</f>
        <v/>
      </c>
      <c r="AJ76" s="852">
        <f>IF(AI75&lt;&gt;0,AI75/AH75,0)</f>
        <v/>
      </c>
      <c r="AK76" s="681" t="n"/>
      <c r="AL76" s="681" t="n"/>
      <c r="AM76" s="681" t="n"/>
      <c r="AN76" s="681" t="n"/>
    </row>
    <row r="77" hidden="1" outlineLevel="1" ht="14" customFormat="1" customHeight="1" s="838">
      <c r="A77" s="846">
        <f>+A31</f>
        <v/>
      </c>
      <c r="B77" s="846">
        <f>+B31</f>
        <v/>
      </c>
      <c r="C77" s="846">
        <f>+C31</f>
        <v/>
      </c>
      <c r="D77" s="846">
        <f>+D31</f>
        <v/>
      </c>
      <c r="E77" s="846">
        <f>+E31</f>
        <v/>
      </c>
      <c r="F77" s="848">
        <f>+F31*$P$47</f>
        <v/>
      </c>
      <c r="G77" s="848">
        <f>+G31*$P$47</f>
        <v/>
      </c>
      <c r="H77" s="848">
        <f>+H31*$P$47</f>
        <v/>
      </c>
      <c r="I77" s="848">
        <f>+I31*$P$47</f>
        <v/>
      </c>
      <c r="J77" s="848">
        <f>+J31*$P$47</f>
        <v/>
      </c>
      <c r="K77" s="848">
        <f>+K31*$P$47</f>
        <v/>
      </c>
      <c r="L77" s="848">
        <f>+L31*$P$47</f>
        <v/>
      </c>
      <c r="M77" s="848">
        <f>+M31*$P$47</f>
        <v/>
      </c>
      <c r="N77" s="848">
        <f>+N31*$P$47</f>
        <v/>
      </c>
      <c r="O77" s="848">
        <f>+O31*$P$47</f>
        <v/>
      </c>
      <c r="P77" s="848">
        <f>+P31*$P$47</f>
        <v/>
      </c>
      <c r="Q77" s="848">
        <f>+Q31*$P$47</f>
        <v/>
      </c>
      <c r="R77" s="848">
        <f>+R31*$P$47</f>
        <v/>
      </c>
      <c r="S77" s="848">
        <f>+S31*$P$47</f>
        <v/>
      </c>
      <c r="T77" s="848" t="n"/>
      <c r="U77" s="848" t="n"/>
      <c r="V77" s="848" t="n"/>
      <c r="W77" s="848" t="n"/>
      <c r="X77" s="848" t="n"/>
      <c r="Y77" s="848" t="n"/>
      <c r="Z77" s="848" t="n"/>
      <c r="AA77" s="848" t="n"/>
      <c r="AB77" s="848" t="n"/>
      <c r="AC77" s="848" t="n"/>
      <c r="AD77" s="848" t="n"/>
      <c r="AE77" s="848" t="n"/>
      <c r="AF77" s="848">
        <f>+AF31*$P$47</f>
        <v/>
      </c>
      <c r="AG77" s="848">
        <f>+AG31*$P$47</f>
        <v/>
      </c>
      <c r="AH77" s="848">
        <f>+AH31*$P$47</f>
        <v/>
      </c>
      <c r="AI77" s="848">
        <f>+AI31*$P$47</f>
        <v/>
      </c>
      <c r="AJ77" s="853">
        <f>IF(AI76&lt;&gt;0,AI76/AH76,0)</f>
        <v/>
      </c>
      <c r="AK77" s="686" t="n"/>
      <c r="AL77" s="686" t="n"/>
      <c r="AM77" s="686" t="n"/>
      <c r="AN77" s="686" t="n"/>
    </row>
    <row r="78" hidden="1" outlineLevel="1" ht="14" customFormat="1" customHeight="1" s="838">
      <c r="A78" s="850">
        <f>+A32</f>
        <v/>
      </c>
      <c r="B78" s="850">
        <f>+B32</f>
        <v/>
      </c>
      <c r="C78" s="850">
        <f>+C32</f>
        <v/>
      </c>
      <c r="D78" s="850">
        <f>+D32</f>
        <v/>
      </c>
      <c r="E78" s="850">
        <f>+E32</f>
        <v/>
      </c>
      <c r="F78" s="851">
        <f>+F32*$P$47</f>
        <v/>
      </c>
      <c r="G78" s="851">
        <f>+G32*$P$47</f>
        <v/>
      </c>
      <c r="H78" s="851">
        <f>+H32*$P$47</f>
        <v/>
      </c>
      <c r="I78" s="851">
        <f>+I32*$P$47</f>
        <v/>
      </c>
      <c r="J78" s="851">
        <f>+J32*$P$47</f>
        <v/>
      </c>
      <c r="K78" s="851">
        <f>+K32*$P$47</f>
        <v/>
      </c>
      <c r="L78" s="851">
        <f>+L32*$P$47</f>
        <v/>
      </c>
      <c r="M78" s="851">
        <f>+M32*$P$47</f>
        <v/>
      </c>
      <c r="N78" s="851">
        <f>+N32*$P$47</f>
        <v/>
      </c>
      <c r="O78" s="851">
        <f>+O32*$P$47</f>
        <v/>
      </c>
      <c r="P78" s="851">
        <f>+P32*$P$47</f>
        <v/>
      </c>
      <c r="Q78" s="851">
        <f>+Q32*$P$47</f>
        <v/>
      </c>
      <c r="R78" s="851">
        <f>+R32*$P$47</f>
        <v/>
      </c>
      <c r="S78" s="851">
        <f>+S32*$P$47</f>
        <v/>
      </c>
      <c r="T78" s="851" t="n"/>
      <c r="U78" s="851" t="n"/>
      <c r="V78" s="851" t="n"/>
      <c r="W78" s="851" t="n"/>
      <c r="X78" s="851" t="n"/>
      <c r="Y78" s="851" t="n"/>
      <c r="Z78" s="851" t="n"/>
      <c r="AA78" s="851" t="n"/>
      <c r="AB78" s="851" t="n"/>
      <c r="AC78" s="851" t="n"/>
      <c r="AD78" s="851" t="n"/>
      <c r="AE78" s="851" t="n"/>
      <c r="AF78" s="851">
        <f>+AF32*$P$47</f>
        <v/>
      </c>
      <c r="AG78" s="851">
        <f>+AG32*$P$47</f>
        <v/>
      </c>
      <c r="AH78" s="851">
        <f>+AH32*$P$47</f>
        <v/>
      </c>
      <c r="AI78" s="851">
        <f>+AI32*$P$47</f>
        <v/>
      </c>
      <c r="AJ78" s="852">
        <f>IF(AI77&lt;&gt;0,AI77/AH77,0)</f>
        <v/>
      </c>
      <c r="AK78" s="681" t="n"/>
      <c r="AL78" s="681" t="n"/>
      <c r="AM78" s="681" t="n"/>
      <c r="AN78" s="681" t="n"/>
    </row>
    <row r="79" hidden="1" outlineLevel="1" ht="14" customFormat="1" customHeight="1" s="838">
      <c r="A79" s="846">
        <f>+A33</f>
        <v/>
      </c>
      <c r="B79" s="846">
        <f>+B33</f>
        <v/>
      </c>
      <c r="C79" s="846">
        <f>+C33</f>
        <v/>
      </c>
      <c r="D79" s="846">
        <f>+D33</f>
        <v/>
      </c>
      <c r="E79" s="846">
        <f>+E33</f>
        <v/>
      </c>
      <c r="F79" s="848">
        <f>+F33*$P$47</f>
        <v/>
      </c>
      <c r="G79" s="848">
        <f>+G33*$P$47</f>
        <v/>
      </c>
      <c r="H79" s="848">
        <f>+H33*$P$47</f>
        <v/>
      </c>
      <c r="I79" s="848">
        <f>+I33*$P$47</f>
        <v/>
      </c>
      <c r="J79" s="848">
        <f>+J33*$P$47</f>
        <v/>
      </c>
      <c r="K79" s="848">
        <f>+K33*$P$47</f>
        <v/>
      </c>
      <c r="L79" s="848">
        <f>+L33*$P$47</f>
        <v/>
      </c>
      <c r="M79" s="848">
        <f>+M33*$P$47</f>
        <v/>
      </c>
      <c r="N79" s="848">
        <f>+N33*$P$47</f>
        <v/>
      </c>
      <c r="O79" s="848">
        <f>+O33*$P$47</f>
        <v/>
      </c>
      <c r="P79" s="848">
        <f>+P33*$P$47</f>
        <v/>
      </c>
      <c r="Q79" s="848">
        <f>+Q33*$P$47</f>
        <v/>
      </c>
      <c r="R79" s="848">
        <f>+R33*$P$47</f>
        <v/>
      </c>
      <c r="S79" s="848">
        <f>+S33*$P$47</f>
        <v/>
      </c>
      <c r="T79" s="848" t="n"/>
      <c r="U79" s="848" t="n"/>
      <c r="V79" s="848" t="n"/>
      <c r="W79" s="848" t="n"/>
      <c r="X79" s="848" t="n"/>
      <c r="Y79" s="848" t="n"/>
      <c r="Z79" s="848" t="n"/>
      <c r="AA79" s="848" t="n"/>
      <c r="AB79" s="848" t="n"/>
      <c r="AC79" s="848" t="n"/>
      <c r="AD79" s="848" t="n"/>
      <c r="AE79" s="848" t="n"/>
      <c r="AF79" s="848">
        <f>+AF33*$P$47</f>
        <v/>
      </c>
      <c r="AG79" s="848">
        <f>+AG33*$P$47</f>
        <v/>
      </c>
      <c r="AH79" s="848">
        <f>+AH33*$P$47</f>
        <v/>
      </c>
      <c r="AI79" s="848">
        <f>+AI33*$P$47</f>
        <v/>
      </c>
      <c r="AJ79" s="853">
        <f>IF(AI78&lt;&gt;0,AI78/AH78,0)</f>
        <v/>
      </c>
      <c r="AK79" s="686" t="n"/>
      <c r="AL79" s="686" t="n"/>
      <c r="AM79" s="686" t="n"/>
      <c r="AN79" s="686" t="n"/>
    </row>
    <row r="80" hidden="1" outlineLevel="1" ht="14" customFormat="1" customHeight="1" s="838">
      <c r="A80" s="850">
        <f>+A34</f>
        <v/>
      </c>
      <c r="B80" s="850">
        <f>+B34</f>
        <v/>
      </c>
      <c r="C80" s="850">
        <f>+C34</f>
        <v/>
      </c>
      <c r="D80" s="850">
        <f>+D34</f>
        <v/>
      </c>
      <c r="E80" s="850">
        <f>+E34</f>
        <v/>
      </c>
      <c r="F80" s="851">
        <f>+F34*$P$47</f>
        <v/>
      </c>
      <c r="G80" s="851">
        <f>+G34*$P$47</f>
        <v/>
      </c>
      <c r="H80" s="851">
        <f>+H34*$P$47</f>
        <v/>
      </c>
      <c r="I80" s="851">
        <f>+I34*$P$47</f>
        <v/>
      </c>
      <c r="J80" s="851">
        <f>+J34*$P$47</f>
        <v/>
      </c>
      <c r="K80" s="851">
        <f>+K34*$P$47</f>
        <v/>
      </c>
      <c r="L80" s="851">
        <f>+L34*$P$47</f>
        <v/>
      </c>
      <c r="M80" s="851">
        <f>+M34*$P$47</f>
        <v/>
      </c>
      <c r="N80" s="851">
        <f>+N34*$P$47</f>
        <v/>
      </c>
      <c r="O80" s="851">
        <f>+O34*$P$47</f>
        <v/>
      </c>
      <c r="P80" s="851">
        <f>+P34*$P$47</f>
        <v/>
      </c>
      <c r="Q80" s="851">
        <f>+Q34*$P$47</f>
        <v/>
      </c>
      <c r="R80" s="851">
        <f>+R34*$P$47</f>
        <v/>
      </c>
      <c r="S80" s="851">
        <f>+S34*$P$47</f>
        <v/>
      </c>
      <c r="T80" s="851" t="n"/>
      <c r="U80" s="851" t="n"/>
      <c r="V80" s="851" t="n"/>
      <c r="W80" s="851" t="n"/>
      <c r="X80" s="851" t="n"/>
      <c r="Y80" s="851" t="n"/>
      <c r="Z80" s="851" t="n"/>
      <c r="AA80" s="851" t="n"/>
      <c r="AB80" s="851" t="n"/>
      <c r="AC80" s="851" t="n"/>
      <c r="AD80" s="851" t="n"/>
      <c r="AE80" s="851" t="n"/>
      <c r="AF80" s="851">
        <f>+AF34*$P$47</f>
        <v/>
      </c>
      <c r="AG80" s="851">
        <f>+AG34*$P$47</f>
        <v/>
      </c>
      <c r="AH80" s="851">
        <f>+AH34*$P$47</f>
        <v/>
      </c>
      <c r="AI80" s="851">
        <f>+AI34*$P$47</f>
        <v/>
      </c>
      <c r="AJ80" s="852">
        <f>IF(AI79&lt;&gt;0,AI79/AH79,0)</f>
        <v/>
      </c>
      <c r="AK80" s="681" t="n"/>
      <c r="AL80" s="681" t="n"/>
      <c r="AM80" s="681" t="n"/>
      <c r="AN80" s="681" t="n"/>
    </row>
    <row r="81" hidden="1" outlineLevel="1" ht="14" customFormat="1" customHeight="1" s="838">
      <c r="A81" s="846">
        <f>+A35</f>
        <v/>
      </c>
      <c r="B81" s="846">
        <f>+B35</f>
        <v/>
      </c>
      <c r="C81" s="846">
        <f>+C35</f>
        <v/>
      </c>
      <c r="D81" s="846">
        <f>+D35</f>
        <v/>
      </c>
      <c r="E81" s="846">
        <f>+E35</f>
        <v/>
      </c>
      <c r="F81" s="848">
        <f>+F35*$P$47</f>
        <v/>
      </c>
      <c r="G81" s="848">
        <f>+G35*$P$47</f>
        <v/>
      </c>
      <c r="H81" s="848">
        <f>+H35*$P$47</f>
        <v/>
      </c>
      <c r="I81" s="848">
        <f>+I35*$P$47</f>
        <v/>
      </c>
      <c r="J81" s="848">
        <f>+J35*$P$47</f>
        <v/>
      </c>
      <c r="K81" s="848">
        <f>+K35*$P$47</f>
        <v/>
      </c>
      <c r="L81" s="848">
        <f>+L35*$P$47</f>
        <v/>
      </c>
      <c r="M81" s="848">
        <f>+M35*$P$47</f>
        <v/>
      </c>
      <c r="N81" s="848">
        <f>+N35*$P$47</f>
        <v/>
      </c>
      <c r="O81" s="848">
        <f>+O35*$P$47</f>
        <v/>
      </c>
      <c r="P81" s="848">
        <f>+P35*$P$47</f>
        <v/>
      </c>
      <c r="Q81" s="848">
        <f>+Q35*$P$47</f>
        <v/>
      </c>
      <c r="R81" s="848">
        <f>+R35*$P$47</f>
        <v/>
      </c>
      <c r="S81" s="848">
        <f>+S35*$P$47</f>
        <v/>
      </c>
      <c r="T81" s="848" t="n"/>
      <c r="U81" s="848" t="n"/>
      <c r="V81" s="848" t="n"/>
      <c r="W81" s="848" t="n"/>
      <c r="X81" s="848" t="n"/>
      <c r="Y81" s="848" t="n"/>
      <c r="Z81" s="848" t="n"/>
      <c r="AA81" s="848" t="n"/>
      <c r="AB81" s="848" t="n"/>
      <c r="AC81" s="848" t="n"/>
      <c r="AD81" s="848" t="n"/>
      <c r="AE81" s="848" t="n"/>
      <c r="AF81" s="848">
        <f>+AF35*$P$47</f>
        <v/>
      </c>
      <c r="AG81" s="848">
        <f>+AG35*$P$47</f>
        <v/>
      </c>
      <c r="AH81" s="848">
        <f>+AH35*$P$47</f>
        <v/>
      </c>
      <c r="AI81" s="848">
        <f>+AI35*$P$47</f>
        <v/>
      </c>
      <c r="AJ81" s="853">
        <f>IF(AI80&lt;&gt;0,AI80/AH80,0)</f>
        <v/>
      </c>
      <c r="AK81" s="686" t="n"/>
      <c r="AL81" s="686" t="n"/>
      <c r="AM81" s="686" t="n"/>
      <c r="AN81" s="686" t="n"/>
    </row>
    <row r="82" hidden="1" outlineLevel="1" ht="14" customFormat="1" customHeight="1" s="844">
      <c r="A82" s="850">
        <f>+A36</f>
        <v/>
      </c>
      <c r="B82" s="850">
        <f>+B36</f>
        <v/>
      </c>
      <c r="C82" s="850">
        <f>+C36</f>
        <v/>
      </c>
      <c r="D82" s="850">
        <f>+D36</f>
        <v/>
      </c>
      <c r="E82" s="850">
        <f>+E36</f>
        <v/>
      </c>
      <c r="F82" s="851">
        <f>+F36*$P$47</f>
        <v/>
      </c>
      <c r="G82" s="851">
        <f>+G36*$P$47</f>
        <v/>
      </c>
      <c r="H82" s="851">
        <f>+H36*$P$47</f>
        <v/>
      </c>
      <c r="I82" s="851">
        <f>+I36*$P$47</f>
        <v/>
      </c>
      <c r="J82" s="851">
        <f>+J36*$P$47</f>
        <v/>
      </c>
      <c r="K82" s="851">
        <f>+K36*$P$47</f>
        <v/>
      </c>
      <c r="L82" s="851">
        <f>+L36*$P$47</f>
        <v/>
      </c>
      <c r="M82" s="851">
        <f>+M36*$P$47</f>
        <v/>
      </c>
      <c r="N82" s="851">
        <f>+N36*$P$47</f>
        <v/>
      </c>
      <c r="O82" s="851">
        <f>+O36*$P$47</f>
        <v/>
      </c>
      <c r="P82" s="851">
        <f>+P36*$P$47</f>
        <v/>
      </c>
      <c r="Q82" s="851">
        <f>+Q36*$P$47</f>
        <v/>
      </c>
      <c r="R82" s="851">
        <f>+R36*$P$47</f>
        <v/>
      </c>
      <c r="S82" s="851">
        <f>+S36*$P$47</f>
        <v/>
      </c>
      <c r="T82" s="851" t="n"/>
      <c r="U82" s="851" t="n"/>
      <c r="V82" s="851" t="n"/>
      <c r="W82" s="851" t="n"/>
      <c r="X82" s="851" t="n"/>
      <c r="Y82" s="851" t="n"/>
      <c r="Z82" s="851" t="n"/>
      <c r="AA82" s="851" t="n"/>
      <c r="AB82" s="851" t="n"/>
      <c r="AC82" s="851" t="n"/>
      <c r="AD82" s="851" t="n"/>
      <c r="AE82" s="851" t="n"/>
      <c r="AF82" s="851">
        <f>+AF36*$P$47</f>
        <v/>
      </c>
      <c r="AG82" s="851">
        <f>+AG36*$P$47</f>
        <v/>
      </c>
      <c r="AH82" s="851">
        <f>+AH36*$P$47</f>
        <v/>
      </c>
      <c r="AI82" s="851">
        <f>+AI36*$P$47</f>
        <v/>
      </c>
      <c r="AJ82" s="852">
        <f>IF(AI81&lt;&gt;0,AI81/AH81,0)</f>
        <v/>
      </c>
      <c r="AK82" s="681" t="n"/>
      <c r="AL82" s="681" t="n"/>
      <c r="AM82" s="681" t="n"/>
      <c r="AN82" s="681" t="n"/>
    </row>
    <row r="83" hidden="1" outlineLevel="1" ht="14" customFormat="1" customHeight="1" s="838">
      <c r="A83" s="846">
        <f>+A37</f>
        <v/>
      </c>
      <c r="B83" s="846">
        <f>+B37</f>
        <v/>
      </c>
      <c r="C83" s="846">
        <f>+C37</f>
        <v/>
      </c>
      <c r="D83" s="846">
        <f>+D37</f>
        <v/>
      </c>
      <c r="E83" s="846">
        <f>+E37</f>
        <v/>
      </c>
      <c r="F83" s="848">
        <f>+F37*$P$47</f>
        <v/>
      </c>
      <c r="G83" s="848">
        <f>+G37*$P$47</f>
        <v/>
      </c>
      <c r="H83" s="848">
        <f>+H37*$P$47</f>
        <v/>
      </c>
      <c r="I83" s="848">
        <f>+I37*$P$47</f>
        <v/>
      </c>
      <c r="J83" s="848">
        <f>+J37*$P$47</f>
        <v/>
      </c>
      <c r="K83" s="848">
        <f>+K37*$P$47</f>
        <v/>
      </c>
      <c r="L83" s="848">
        <f>+L37*$P$47</f>
        <v/>
      </c>
      <c r="M83" s="848">
        <f>+M37*$P$47</f>
        <v/>
      </c>
      <c r="N83" s="848">
        <f>+N37*$P$47</f>
        <v/>
      </c>
      <c r="O83" s="848">
        <f>+O37*$P$47</f>
        <v/>
      </c>
      <c r="P83" s="848">
        <f>+P37*$P$47</f>
        <v/>
      </c>
      <c r="Q83" s="848">
        <f>+Q37*$P$47</f>
        <v/>
      </c>
      <c r="R83" s="848">
        <f>+R37*$P$47</f>
        <v/>
      </c>
      <c r="S83" s="848">
        <f>+S37*$P$47</f>
        <v/>
      </c>
      <c r="T83" s="848" t="n"/>
      <c r="U83" s="848" t="n"/>
      <c r="V83" s="848" t="n"/>
      <c r="W83" s="848" t="n"/>
      <c r="X83" s="848" t="n"/>
      <c r="Y83" s="848" t="n"/>
      <c r="Z83" s="848" t="n"/>
      <c r="AA83" s="848" t="n"/>
      <c r="AB83" s="848" t="n"/>
      <c r="AC83" s="848" t="n"/>
      <c r="AD83" s="848" t="n"/>
      <c r="AE83" s="848" t="n"/>
      <c r="AF83" s="848">
        <f>+AF37*$P$47</f>
        <v/>
      </c>
      <c r="AG83" s="848">
        <f>+AG37*$P$47</f>
        <v/>
      </c>
      <c r="AH83" s="848">
        <f>+AH37*$P$47</f>
        <v/>
      </c>
      <c r="AI83" s="848">
        <f>+AI37*$P$47</f>
        <v/>
      </c>
      <c r="AJ83" s="853">
        <f>IF(AI82&lt;&gt;0,AI82/AH82,0)</f>
        <v/>
      </c>
      <c r="AK83" s="686" t="n"/>
      <c r="AL83" s="686" t="n"/>
      <c r="AM83" s="686" t="n"/>
      <c r="AN83" s="686" t="n"/>
    </row>
    <row r="84" hidden="1" outlineLevel="1" ht="14" customFormat="1" customHeight="1" s="838">
      <c r="A84" s="850">
        <f>+A38</f>
        <v/>
      </c>
      <c r="B84" s="850">
        <f>+B38</f>
        <v/>
      </c>
      <c r="C84" s="850">
        <f>+C38</f>
        <v/>
      </c>
      <c r="D84" s="850">
        <f>+D38</f>
        <v/>
      </c>
      <c r="E84" s="850">
        <f>+E38</f>
        <v/>
      </c>
      <c r="F84" s="851">
        <f>+F38*$P$47</f>
        <v/>
      </c>
      <c r="G84" s="851">
        <f>+G38*$P$47</f>
        <v/>
      </c>
      <c r="H84" s="851">
        <f>+H38*$P$47</f>
        <v/>
      </c>
      <c r="I84" s="851">
        <f>+I38*$P$47</f>
        <v/>
      </c>
      <c r="J84" s="851">
        <f>+J38*$P$47</f>
        <v/>
      </c>
      <c r="K84" s="851">
        <f>+K38*$P$47</f>
        <v/>
      </c>
      <c r="L84" s="851">
        <f>+L38*$P$47</f>
        <v/>
      </c>
      <c r="M84" s="851">
        <f>+M38*$P$47</f>
        <v/>
      </c>
      <c r="N84" s="851">
        <f>+N38*$P$47</f>
        <v/>
      </c>
      <c r="O84" s="851">
        <f>+O38*$P$47</f>
        <v/>
      </c>
      <c r="P84" s="851">
        <f>+P38*$P$47</f>
        <v/>
      </c>
      <c r="Q84" s="851">
        <f>+Q38*$P$47</f>
        <v/>
      </c>
      <c r="R84" s="851">
        <f>+R38*$P$47</f>
        <v/>
      </c>
      <c r="S84" s="851">
        <f>+S38*$P$47</f>
        <v/>
      </c>
      <c r="T84" s="851" t="n"/>
      <c r="U84" s="851" t="n"/>
      <c r="V84" s="851" t="n"/>
      <c r="W84" s="851" t="n"/>
      <c r="X84" s="851" t="n"/>
      <c r="Y84" s="851" t="n"/>
      <c r="Z84" s="851" t="n"/>
      <c r="AA84" s="851" t="n"/>
      <c r="AB84" s="851" t="n"/>
      <c r="AC84" s="851" t="n"/>
      <c r="AD84" s="851" t="n"/>
      <c r="AE84" s="851" t="n"/>
      <c r="AF84" s="851">
        <f>+AF38*$P$47</f>
        <v/>
      </c>
      <c r="AG84" s="851">
        <f>+AG38*$P$47</f>
        <v/>
      </c>
      <c r="AH84" s="851">
        <f>+AH38*$P$47</f>
        <v/>
      </c>
      <c r="AI84" s="851">
        <f>+AI38*$P$47</f>
        <v/>
      </c>
      <c r="AJ84" s="852">
        <f>IF(AI83&lt;&gt;0,AI83/AH83,0)</f>
        <v/>
      </c>
      <c r="AK84" s="681" t="n"/>
      <c r="AL84" s="681" t="n"/>
      <c r="AM84" s="681" t="n"/>
      <c r="AN84" s="681" t="n"/>
    </row>
    <row r="85" hidden="1" outlineLevel="1" ht="14" customFormat="1" customHeight="1" s="844">
      <c r="A85" s="846">
        <f>+A39</f>
        <v/>
      </c>
      <c r="B85" s="846">
        <f>+B39</f>
        <v/>
      </c>
      <c r="C85" s="846">
        <f>+C39</f>
        <v/>
      </c>
      <c r="D85" s="846">
        <f>+D39</f>
        <v/>
      </c>
      <c r="E85" s="846">
        <f>+E39</f>
        <v/>
      </c>
      <c r="F85" s="848">
        <f>+F39*$P$47</f>
        <v/>
      </c>
      <c r="G85" s="848">
        <f>+G39*$P$47</f>
        <v/>
      </c>
      <c r="H85" s="848">
        <f>+H39*$P$47</f>
        <v/>
      </c>
      <c r="I85" s="848">
        <f>+I39*$P$47</f>
        <v/>
      </c>
      <c r="J85" s="848">
        <f>+J39*$P$47</f>
        <v/>
      </c>
      <c r="K85" s="848">
        <f>+K39*$P$47</f>
        <v/>
      </c>
      <c r="L85" s="848">
        <f>+L39*$P$47</f>
        <v/>
      </c>
      <c r="M85" s="848">
        <f>+M39*$P$47</f>
        <v/>
      </c>
      <c r="N85" s="848">
        <f>+N39*$P$47</f>
        <v/>
      </c>
      <c r="O85" s="848">
        <f>+O39*$P$47</f>
        <v/>
      </c>
      <c r="P85" s="848">
        <f>+P39*$P$47</f>
        <v/>
      </c>
      <c r="Q85" s="848">
        <f>+Q39*$P$47</f>
        <v/>
      </c>
      <c r="R85" s="848">
        <f>+R39*$P$47</f>
        <v/>
      </c>
      <c r="S85" s="848">
        <f>+S39*$P$47</f>
        <v/>
      </c>
      <c r="T85" s="848" t="n"/>
      <c r="U85" s="848" t="n"/>
      <c r="V85" s="848" t="n"/>
      <c r="W85" s="848" t="n"/>
      <c r="X85" s="848" t="n"/>
      <c r="Y85" s="848" t="n"/>
      <c r="Z85" s="848" t="n"/>
      <c r="AA85" s="848" t="n"/>
      <c r="AB85" s="848" t="n"/>
      <c r="AC85" s="848" t="n"/>
      <c r="AD85" s="848" t="n"/>
      <c r="AE85" s="848" t="n"/>
      <c r="AF85" s="848">
        <f>+AF39*$P$47</f>
        <v/>
      </c>
      <c r="AG85" s="848">
        <f>+AG39*$P$47</f>
        <v/>
      </c>
      <c r="AH85" s="848">
        <f>+AH39*$P$47</f>
        <v/>
      </c>
      <c r="AI85" s="848">
        <f>+AI39*$P$47</f>
        <v/>
      </c>
      <c r="AJ85" s="853">
        <f>IF(AI84&lt;&gt;0,AI84/AH84,0)</f>
        <v/>
      </c>
      <c r="AK85" s="686" t="n"/>
      <c r="AL85" s="686" t="n"/>
      <c r="AM85" s="686" t="n"/>
      <c r="AN85" s="686" t="n"/>
    </row>
    <row r="86" hidden="1" outlineLevel="1" ht="14" customFormat="1" customHeight="1" s="838">
      <c r="A86" s="850">
        <f>+A40</f>
        <v/>
      </c>
      <c r="B86" s="850">
        <f>+B40</f>
        <v/>
      </c>
      <c r="C86" s="850">
        <f>+C40</f>
        <v/>
      </c>
      <c r="D86" s="850">
        <f>+D40</f>
        <v/>
      </c>
      <c r="E86" s="850">
        <f>+E40</f>
        <v/>
      </c>
      <c r="F86" s="851">
        <f>+F40*$P$47</f>
        <v/>
      </c>
      <c r="G86" s="851">
        <f>+G40*$P$47</f>
        <v/>
      </c>
      <c r="H86" s="851">
        <f>+H40*$P$47</f>
        <v/>
      </c>
      <c r="I86" s="851">
        <f>+I40*$P$47</f>
        <v/>
      </c>
      <c r="J86" s="851">
        <f>+J40*$P$47</f>
        <v/>
      </c>
      <c r="K86" s="851">
        <f>+K40*$P$47</f>
        <v/>
      </c>
      <c r="L86" s="851">
        <f>+L40*$P$47</f>
        <v/>
      </c>
      <c r="M86" s="851">
        <f>+M40*$P$47</f>
        <v/>
      </c>
      <c r="N86" s="851">
        <f>+N40*$P$47</f>
        <v/>
      </c>
      <c r="O86" s="851">
        <f>+O40*$P$47</f>
        <v/>
      </c>
      <c r="P86" s="851">
        <f>+P40*$P$47</f>
        <v/>
      </c>
      <c r="Q86" s="851">
        <f>+Q40*$P$47</f>
        <v/>
      </c>
      <c r="R86" s="851">
        <f>+R40*$P$47</f>
        <v/>
      </c>
      <c r="S86" s="851">
        <f>+S40*$P$47</f>
        <v/>
      </c>
      <c r="T86" s="851" t="n"/>
      <c r="U86" s="851" t="n"/>
      <c r="V86" s="851" t="n"/>
      <c r="W86" s="851" t="n"/>
      <c r="X86" s="851" t="n"/>
      <c r="Y86" s="851" t="n"/>
      <c r="Z86" s="851" t="n"/>
      <c r="AA86" s="851" t="n"/>
      <c r="AB86" s="851" t="n"/>
      <c r="AC86" s="851" t="n"/>
      <c r="AD86" s="851" t="n"/>
      <c r="AE86" s="851" t="n"/>
      <c r="AF86" s="851">
        <f>+AF40*$P$47</f>
        <v/>
      </c>
      <c r="AG86" s="851">
        <f>+AG40*$P$47</f>
        <v/>
      </c>
      <c r="AH86" s="851">
        <f>+AH40*$P$47</f>
        <v/>
      </c>
      <c r="AI86" s="851">
        <f>+AI40*$P$47</f>
        <v/>
      </c>
      <c r="AJ86" s="852">
        <f>IF(AI85&lt;&gt;0,AI85/AH85,0)</f>
        <v/>
      </c>
      <c r="AK86" s="681" t="n"/>
      <c r="AL86" s="681" t="n"/>
      <c r="AM86" s="681" t="n"/>
      <c r="AN86" s="681" t="n"/>
    </row>
    <row r="87" hidden="1" outlineLevel="1" ht="14" customFormat="1" customHeight="1" s="838">
      <c r="A87" s="846">
        <f>+A41</f>
        <v/>
      </c>
      <c r="B87" s="846">
        <f>+B41</f>
        <v/>
      </c>
      <c r="C87" s="846">
        <f>+C41</f>
        <v/>
      </c>
      <c r="D87" s="846">
        <f>+D41</f>
        <v/>
      </c>
      <c r="E87" s="846">
        <f>+E41</f>
        <v/>
      </c>
      <c r="F87" s="848">
        <f>+F41*$P$47</f>
        <v/>
      </c>
      <c r="G87" s="848">
        <f>+G41*$P$47</f>
        <v/>
      </c>
      <c r="H87" s="848">
        <f>+H41*$P$47</f>
        <v/>
      </c>
      <c r="I87" s="848">
        <f>+I41*$P$47</f>
        <v/>
      </c>
      <c r="J87" s="848">
        <f>+J41*$P$47</f>
        <v/>
      </c>
      <c r="K87" s="848">
        <f>+K41*$P$47</f>
        <v/>
      </c>
      <c r="L87" s="848">
        <f>+L41*$P$47</f>
        <v/>
      </c>
      <c r="M87" s="848">
        <f>+M41*$P$47</f>
        <v/>
      </c>
      <c r="N87" s="848">
        <f>+N41*$P$47</f>
        <v/>
      </c>
      <c r="O87" s="848">
        <f>+O41*$P$47</f>
        <v/>
      </c>
      <c r="P87" s="848">
        <f>+P41*$P$47</f>
        <v/>
      </c>
      <c r="Q87" s="848">
        <f>+Q41*$P$47</f>
        <v/>
      </c>
      <c r="R87" s="848">
        <f>+R41*$P$47</f>
        <v/>
      </c>
      <c r="S87" s="848">
        <f>+S41*$P$47</f>
        <v/>
      </c>
      <c r="T87" s="848" t="n"/>
      <c r="U87" s="848" t="n"/>
      <c r="V87" s="848" t="n"/>
      <c r="W87" s="848" t="n"/>
      <c r="X87" s="848" t="n"/>
      <c r="Y87" s="848" t="n"/>
      <c r="Z87" s="848" t="n"/>
      <c r="AA87" s="848" t="n"/>
      <c r="AB87" s="848" t="n"/>
      <c r="AC87" s="848" t="n"/>
      <c r="AD87" s="848" t="n"/>
      <c r="AE87" s="848" t="n"/>
      <c r="AF87" s="848">
        <f>+AF41*$P$47</f>
        <v/>
      </c>
      <c r="AG87" s="848">
        <f>+AG41*$P$47</f>
        <v/>
      </c>
      <c r="AH87" s="848">
        <f>+AH41*$P$47</f>
        <v/>
      </c>
      <c r="AI87" s="848">
        <f>+AI41*$P$47</f>
        <v/>
      </c>
      <c r="AJ87" s="853">
        <f>IF(AI86&lt;&gt;0,AI86/AH86,0)</f>
        <v/>
      </c>
      <c r="AK87" s="686" t="n"/>
      <c r="AL87" s="686" t="n"/>
      <c r="AM87" s="686" t="n"/>
      <c r="AN87" s="686" t="n"/>
    </row>
    <row r="88" hidden="1" outlineLevel="1" ht="14" customFormat="1" customHeight="1" s="838">
      <c r="A88" s="850">
        <f>+A42</f>
        <v/>
      </c>
      <c r="B88" s="850">
        <f>+B42</f>
        <v/>
      </c>
      <c r="C88" s="850">
        <f>+C42</f>
        <v/>
      </c>
      <c r="D88" s="850">
        <f>+D42</f>
        <v/>
      </c>
      <c r="E88" s="850">
        <f>+E42</f>
        <v/>
      </c>
      <c r="F88" s="851">
        <f>+F42*$P$47</f>
        <v/>
      </c>
      <c r="G88" s="851">
        <f>+G42*$P$47</f>
        <v/>
      </c>
      <c r="H88" s="851">
        <f>+H42*$P$47</f>
        <v/>
      </c>
      <c r="I88" s="851">
        <f>+I42*$P$47</f>
        <v/>
      </c>
      <c r="J88" s="851">
        <f>+J42*$P$47</f>
        <v/>
      </c>
      <c r="K88" s="851">
        <f>+K42*$P$47</f>
        <v/>
      </c>
      <c r="L88" s="851">
        <f>+L42*$P$47</f>
        <v/>
      </c>
      <c r="M88" s="851">
        <f>+M42*$P$47</f>
        <v/>
      </c>
      <c r="N88" s="851">
        <f>+N42*$P$47</f>
        <v/>
      </c>
      <c r="O88" s="851">
        <f>+O42*$P$47</f>
        <v/>
      </c>
      <c r="P88" s="851">
        <f>+P42*$P$47</f>
        <v/>
      </c>
      <c r="Q88" s="851">
        <f>+Q42*$P$47</f>
        <v/>
      </c>
      <c r="R88" s="851">
        <f>+R42*$P$47</f>
        <v/>
      </c>
      <c r="S88" s="851">
        <f>+S42*$P$47</f>
        <v/>
      </c>
      <c r="T88" s="851" t="n"/>
      <c r="U88" s="851" t="n"/>
      <c r="V88" s="851" t="n"/>
      <c r="W88" s="851" t="n"/>
      <c r="X88" s="851" t="n"/>
      <c r="Y88" s="851" t="n"/>
      <c r="Z88" s="851" t="n"/>
      <c r="AA88" s="851" t="n"/>
      <c r="AB88" s="851" t="n"/>
      <c r="AC88" s="851" t="n"/>
      <c r="AD88" s="851" t="n"/>
      <c r="AE88" s="851" t="n"/>
      <c r="AF88" s="851">
        <f>+AF42*$P$47</f>
        <v/>
      </c>
      <c r="AG88" s="851">
        <f>+AG42*$P$47</f>
        <v/>
      </c>
      <c r="AH88" s="851">
        <f>+AH42*$P$47</f>
        <v/>
      </c>
      <c r="AI88" s="851">
        <f>+AI42*$P$47</f>
        <v/>
      </c>
      <c r="AJ88" s="852">
        <f>IF(AI87&lt;&gt;0,AI87/AH87,0)</f>
        <v/>
      </c>
      <c r="AK88" s="681" t="n"/>
      <c r="AL88" s="681" t="n"/>
      <c r="AM88" s="681" t="n"/>
      <c r="AN88" s="681" t="n"/>
    </row>
    <row r="89" hidden="1" outlineLevel="1" ht="14" customHeight="1" s="549">
      <c r="A89" s="846">
        <f>+A43</f>
        <v/>
      </c>
      <c r="B89" s="846">
        <f>+B43</f>
        <v/>
      </c>
      <c r="C89" s="846">
        <f>+C43</f>
        <v/>
      </c>
      <c r="D89" s="846">
        <f>+D43</f>
        <v/>
      </c>
      <c r="E89" s="846">
        <f>+E43</f>
        <v/>
      </c>
      <c r="F89" s="848">
        <f>+F43*$P$47</f>
        <v/>
      </c>
      <c r="G89" s="848">
        <f>+G43*$P$47</f>
        <v/>
      </c>
      <c r="H89" s="848">
        <f>+H43*$P$47</f>
        <v/>
      </c>
      <c r="I89" s="848">
        <f>+I43*$P$47</f>
        <v/>
      </c>
      <c r="J89" s="848">
        <f>+J43*$P$47</f>
        <v/>
      </c>
      <c r="K89" s="848">
        <f>+K43*$P$47</f>
        <v/>
      </c>
      <c r="L89" s="848">
        <f>+L43*$P$47</f>
        <v/>
      </c>
      <c r="M89" s="848">
        <f>+M43*$P$47</f>
        <v/>
      </c>
      <c r="N89" s="848">
        <f>+N43*$P$47</f>
        <v/>
      </c>
      <c r="O89" s="848">
        <f>+O43*$P$47</f>
        <v/>
      </c>
      <c r="P89" s="848">
        <f>+P43*$P$47</f>
        <v/>
      </c>
      <c r="Q89" s="848">
        <f>+Q43*$P$47</f>
        <v/>
      </c>
      <c r="R89" s="848">
        <f>+R43*$P$47</f>
        <v/>
      </c>
      <c r="S89" s="848">
        <f>+S43*$P$47</f>
        <v/>
      </c>
      <c r="T89" s="848" t="n"/>
      <c r="U89" s="848" t="n"/>
      <c r="V89" s="848" t="n"/>
      <c r="W89" s="848" t="n"/>
      <c r="X89" s="848" t="n"/>
      <c r="Y89" s="848" t="n"/>
      <c r="Z89" s="848" t="n"/>
      <c r="AA89" s="848" t="n"/>
      <c r="AB89" s="848" t="n"/>
      <c r="AC89" s="848" t="n"/>
      <c r="AD89" s="848" t="n"/>
      <c r="AE89" s="848" t="n"/>
      <c r="AF89" s="848">
        <f>+AF43*$P$47</f>
        <v/>
      </c>
      <c r="AG89" s="848">
        <f>+AG43*$P$47</f>
        <v/>
      </c>
      <c r="AH89" s="848">
        <f>+AH43*$P$47</f>
        <v/>
      </c>
      <c r="AI89" s="848">
        <f>+AI43*$P$47</f>
        <v/>
      </c>
      <c r="AJ89" s="853">
        <f>IF(AI88&lt;&gt;0,AI88/AH88,0)</f>
        <v/>
      </c>
      <c r="AK89" s="686" t="n"/>
      <c r="AL89" s="686" t="n"/>
      <c r="AM89" s="686" t="n"/>
      <c r="AN89" s="686" t="n"/>
    </row>
    <row r="90" collapsed="1" s="549"/>
  </sheetData>
  <mergeCells count="10">
    <mergeCell ref="E5:E6"/>
    <mergeCell ref="A5:C5"/>
    <mergeCell ref="AH49:AJ49"/>
    <mergeCell ref="G50:R50"/>
    <mergeCell ref="AH3:AJ3"/>
    <mergeCell ref="T5:AE5"/>
    <mergeCell ref="G5:R5"/>
    <mergeCell ref="A50:C50"/>
    <mergeCell ref="E50:E51"/>
    <mergeCell ref="A1:AN1"/>
  </mergeCells>
  <conditionalFormatting sqref="AK1:AK1048576 AM1:AM1048576">
    <cfRule type="colorScale" priority="2">
      <colorScale>
        <cfvo type="min"/>
        <cfvo type="percentile" val="50"/>
        <cfvo type="max"/>
        <color rgb="FF63BE7B"/>
        <color rgb="FFFFEB84"/>
        <color rgb="FFF8696B"/>
      </colorScale>
    </cfRule>
  </conditionalFormatting>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595959"/>
    <outlinePr summaryBelow="1" summaryRight="1"/>
    <pageSetUpPr/>
  </sheetPr>
  <dimension ref="A1:Q36"/>
  <sheetViews>
    <sheetView showGridLines="0" zoomScaleNormal="100" workbookViewId="0">
      <selection activeCell="I14" sqref="I14"/>
    </sheetView>
  </sheetViews>
  <sheetFormatPr baseColWidth="10" defaultColWidth="11.42578125" defaultRowHeight="11.25"/>
  <cols>
    <col width="47" customWidth="1" style="641" min="1" max="1"/>
    <col width="47" customWidth="1" style="641" min="2" max="2"/>
    <col width="47" customWidth="1" style="641" min="3" max="3"/>
    <col width="21" customWidth="1" style="641" min="4" max="4"/>
    <col width="47" customWidth="1" style="641" min="5" max="5"/>
    <col width="41" customWidth="1" style="642" min="6" max="6"/>
    <col width="22" customWidth="1" style="642" min="7" max="7"/>
    <col width="19" customWidth="1" style="642" min="8" max="8"/>
    <col width="47" customWidth="1" style="642" min="9" max="9"/>
    <col width="47" customWidth="1" style="642" min="10" max="10"/>
    <col width="31" customWidth="1" style="642" min="11" max="11"/>
    <col width="30" customWidth="1" style="642" min="12" max="12"/>
    <col width="47" customWidth="1" style="642" min="13" max="14"/>
    <col width="47" customWidth="1" style="549" min="14" max="14"/>
    <col width="47" customWidth="1" style="642" min="15" max="15"/>
    <col width="10" customWidth="1" style="641" min="16" max="17"/>
    <col width="10" customWidth="1" style="549" min="17" max="17"/>
    <col width="11.42578125" customWidth="1" style="641" min="18" max="19"/>
    <col width="11.42578125" customWidth="1" style="641" min="20" max="16384"/>
  </cols>
  <sheetData>
    <row r="1" ht="20" customHeight="1" s="549">
      <c r="A1" s="746" t="inlineStr">
        <is>
          <t>CALCULADORA SERVICIOS PROFESIONALES — LUZ EN CASA</t>
        </is>
      </c>
    </row>
    <row r="2" ht="11.25" customHeight="1" s="549">
      <c r="B2" s="640" t="inlineStr">
        <is>
          <t>CALCULADORA PROPUESTA — SERVICIOS PROFESIONALES</t>
        </is>
      </c>
    </row>
    <row r="3" ht="11.25" customHeight="1" s="549">
      <c r="B3" s="644" t="inlineStr">
        <is>
          <t>1) Parámetros editables de cálculo</t>
        </is>
      </c>
    </row>
    <row r="4" ht="24" customHeight="1" s="549">
      <c r="A4" s="747" t="n"/>
      <c r="B4" s="747" t="n"/>
      <c r="C4" s="747" t="inlineStr">
        <is>
          <t>Parámetro</t>
        </is>
      </c>
      <c r="D4" s="747" t="inlineStr">
        <is>
          <t>Valor</t>
        </is>
      </c>
      <c r="E4" s="747" t="inlineStr">
        <is>
          <t>Comentario / uso</t>
        </is>
      </c>
      <c r="F4" s="747" t="n"/>
      <c r="G4" s="747" t="n"/>
      <c r="H4" s="747" t="n"/>
      <c r="I4" s="747" t="n"/>
      <c r="J4" s="747" t="n"/>
      <c r="K4" s="747" t="n"/>
      <c r="L4" s="747" t="n"/>
      <c r="M4" s="747" t="n"/>
      <c r="N4" s="747" t="n"/>
      <c r="O4" s="747" t="n"/>
      <c r="P4" s="747" t="n"/>
      <c r="Q4" s="747" t="n"/>
    </row>
    <row r="5" ht="14" customHeight="1" s="549">
      <c r="A5" s="681" t="n"/>
      <c r="B5" s="681" t="n"/>
      <c r="C5" s="694" t="inlineStr">
        <is>
          <t>Retención boleta honorarios 2026</t>
        </is>
      </c>
      <c r="D5" s="862" t="n">
        <v>0.1525</v>
      </c>
      <c r="E5" s="694" t="inlineStr">
        <is>
          <t>Se usa cuando se acuerda un monto líquido con prestador a honorarios.</t>
        </is>
      </c>
      <c r="F5" s="681" t="n"/>
      <c r="G5" s="681" t="n"/>
      <c r="H5" s="681" t="n"/>
      <c r="I5" s="681" t="n"/>
      <c r="J5" s="681" t="n"/>
      <c r="K5" s="681" t="n"/>
      <c r="L5" s="681" t="n"/>
      <c r="M5" s="681" t="n"/>
      <c r="N5" s="681" t="n"/>
      <c r="O5" s="681" t="n"/>
      <c r="P5" s="681" t="n"/>
      <c r="Q5" s="681" t="n"/>
    </row>
    <row r="6" ht="14" customHeight="1" s="549">
      <c r="A6" s="686" t="n"/>
      <c r="B6" s="686" t="n"/>
      <c r="C6" s="693" t="inlineStr">
        <is>
          <t>IVA factura</t>
        </is>
      </c>
      <c r="D6" s="863" t="n">
        <v>0.19</v>
      </c>
      <c r="E6" s="693" t="inlineStr">
        <is>
          <t>Se usa solo para servicios profesionales facturados.</t>
        </is>
      </c>
      <c r="F6" s="686" t="n"/>
      <c r="G6" s="686" t="n"/>
      <c r="H6" s="686" t="n"/>
      <c r="I6" s="686" t="n"/>
      <c r="J6" s="686" t="n"/>
      <c r="K6" s="686" t="n"/>
      <c r="L6" s="686" t="n"/>
      <c r="M6" s="686" t="n"/>
      <c r="N6" s="686" t="n"/>
      <c r="O6" s="686" t="n"/>
      <c r="P6" s="686" t="n"/>
      <c r="Q6" s="686" t="n"/>
    </row>
    <row r="7" ht="14" customHeight="1" s="549">
      <c r="A7" s="681" t="n"/>
      <c r="B7" s="681" t="n"/>
      <c r="C7" s="694" t="inlineStr">
        <is>
          <t>SIS empleador</t>
        </is>
      </c>
      <c r="D7" s="862" t="n">
        <v>0.0188</v>
      </c>
      <c r="E7" s="694" t="inlineStr">
        <is>
          <t>Editable. Cargo empleador sobre remuneración imponible.</t>
        </is>
      </c>
      <c r="F7" s="681" t="n"/>
      <c r="G7" s="681" t="n"/>
      <c r="H7" s="681" t="n"/>
      <c r="I7" s="681" t="n"/>
      <c r="J7" s="681" t="n"/>
      <c r="K7" s="681" t="n"/>
      <c r="L7" s="681" t="n"/>
      <c r="M7" s="681" t="n"/>
      <c r="N7" s="681" t="n"/>
      <c r="O7" s="681" t="n"/>
      <c r="P7" s="681" t="n"/>
      <c r="Q7" s="681" t="n"/>
    </row>
    <row r="8" ht="14" customHeight="1" s="549">
      <c r="A8" s="686" t="n"/>
      <c r="B8" s="686" t="n"/>
      <c r="C8" s="693" t="inlineStr">
        <is>
          <t>Seguro cesantía indefinido empleador</t>
        </is>
      </c>
      <c r="D8" s="863" t="n">
        <v>0.024</v>
      </c>
      <c r="E8" s="693" t="inlineStr">
        <is>
          <t>Contrato indefinido: 2,4% empleador, editable.</t>
        </is>
      </c>
      <c r="F8" s="686" t="n"/>
      <c r="G8" s="686" t="n"/>
      <c r="H8" s="686" t="n"/>
      <c r="I8" s="686" t="n"/>
      <c r="J8" s="686" t="n"/>
      <c r="K8" s="686" t="n"/>
      <c r="L8" s="686" t="n"/>
      <c r="M8" s="686" t="n"/>
      <c r="N8" s="686" t="n"/>
      <c r="O8" s="686" t="n"/>
      <c r="P8" s="686" t="n"/>
      <c r="Q8" s="686" t="n"/>
    </row>
    <row r="9" ht="14" customHeight="1" s="549">
      <c r="A9" s="681" t="n"/>
      <c r="B9" s="681" t="n"/>
      <c r="C9" s="694" t="inlineStr">
        <is>
          <t>Seguro cesantía plazo/obra empleador</t>
        </is>
      </c>
      <c r="D9" s="862" t="n">
        <v>0.03</v>
      </c>
      <c r="E9" s="694" t="inlineStr">
        <is>
          <t>Contrato plazo/obra: 3,0% empleador, editable.</t>
        </is>
      </c>
      <c r="F9" s="681" t="n"/>
      <c r="G9" s="681" t="n"/>
      <c r="H9" s="681" t="n"/>
      <c r="I9" s="681" t="n"/>
      <c r="J9" s="681" t="n"/>
      <c r="K9" s="681" t="n"/>
      <c r="L9" s="681" t="n"/>
      <c r="M9" s="681" t="n"/>
      <c r="N9" s="681" t="n"/>
      <c r="O9" s="681" t="n"/>
      <c r="P9" s="681" t="n"/>
      <c r="Q9" s="681" t="n"/>
    </row>
    <row r="10" ht="14" customHeight="1" s="549">
      <c r="A10" s="686" t="n"/>
      <c r="B10" s="686" t="n"/>
      <c r="C10" s="693" t="inlineStr">
        <is>
          <t>Seguro social empleador</t>
        </is>
      </c>
      <c r="D10" s="863" t="n">
        <v>0.01</v>
      </c>
      <c r="E10" s="693" t="inlineStr">
        <is>
          <t>Cotización adicional empleador iniciada en 2025. Editable.</t>
        </is>
      </c>
      <c r="F10" s="686" t="n"/>
      <c r="G10" s="686" t="n"/>
      <c r="H10" s="686" t="n"/>
      <c r="I10" s="686" t="n"/>
      <c r="J10" s="686" t="n"/>
      <c r="K10" s="686" t="n"/>
      <c r="L10" s="686" t="n"/>
      <c r="M10" s="686" t="n"/>
      <c r="N10" s="686" t="n"/>
      <c r="O10" s="686" t="n"/>
      <c r="P10" s="686" t="n"/>
      <c r="Q10" s="686" t="n"/>
    </row>
    <row r="11" ht="14" customHeight="1" s="549">
      <c r="A11" s="681" t="n"/>
      <c r="B11" s="681" t="n"/>
      <c r="C11" s="694" t="inlineStr">
        <is>
          <t>Mutualidad / accidentes trabajo</t>
        </is>
      </c>
      <c r="D11" s="862" t="n">
        <v>0.009299999999999999</v>
      </c>
      <c r="E11" s="694" t="inlineStr">
        <is>
          <t>Tasa referencial. Reemplazar por tasa ACCIONA si aplica.</t>
        </is>
      </c>
      <c r="F11" s="681" t="n"/>
      <c r="G11" s="681" t="n"/>
      <c r="H11" s="681" t="n"/>
      <c r="I11" s="681" t="n"/>
      <c r="J11" s="681" t="n"/>
      <c r="K11" s="681" t="n"/>
      <c r="L11" s="681" t="n"/>
      <c r="M11" s="681" t="n"/>
      <c r="N11" s="681" t="n"/>
      <c r="O11" s="681" t="n"/>
      <c r="P11" s="681" t="n"/>
      <c r="Q11" s="681" t="n"/>
    </row>
    <row r="12" ht="14" customHeight="1" s="549">
      <c r="A12" s="686" t="n"/>
      <c r="B12" s="686" t="n"/>
      <c r="C12" s="693" t="inlineStr">
        <is>
          <t>Otros costos empresa ACCIONA</t>
        </is>
      </c>
      <c r="D12" s="864" t="n">
        <v>0</v>
      </c>
      <c r="E12" s="693" t="inlineStr">
        <is>
          <t>Campo libre para beneficios, provisiones u overhead interno.</t>
        </is>
      </c>
      <c r="F12" s="686" t="n"/>
      <c r="G12" s="686" t="n"/>
      <c r="H12" s="686" t="n"/>
      <c r="I12" s="686" t="n"/>
      <c r="J12" s="686" t="n"/>
      <c r="K12" s="686" t="n"/>
      <c r="L12" s="686" t="n"/>
      <c r="M12" s="686" t="n"/>
      <c r="N12" s="686" t="n"/>
      <c r="O12" s="686" t="n"/>
      <c r="P12" s="686" t="n"/>
      <c r="Q12" s="686" t="n"/>
    </row>
    <row r="13" ht="14" customHeight="1" s="549">
      <c r="A13" s="681" t="n"/>
      <c r="B13" s="681" t="n"/>
      <c r="C13" s="694" t="inlineStr">
        <is>
          <t>Descuento trabajador ref. para líquido contrato</t>
        </is>
      </c>
      <c r="D13" s="862" t="n">
        <v>0.2</v>
      </c>
      <c r="E13" s="694" t="inlineStr">
        <is>
          <t>Solo para simulación de sueldo líquido deseado; validar con RR.HH.</t>
        </is>
      </c>
      <c r="F13" s="681" t="n"/>
      <c r="G13" s="681" t="n"/>
      <c r="H13" s="681" t="n"/>
      <c r="I13" s="681" t="n"/>
      <c r="J13" s="681" t="n"/>
      <c r="K13" s="681" t="n"/>
      <c r="L13" s="681" t="n"/>
      <c r="M13" s="681" t="n"/>
      <c r="N13" s="681" t="n"/>
      <c r="O13" s="681" t="n"/>
      <c r="P13" s="681" t="n"/>
      <c r="Q13" s="681" t="n"/>
    </row>
    <row r="14" ht="14" customHeight="1" s="549">
      <c r="A14" s="686" t="n"/>
      <c r="B14" s="686" t="n"/>
      <c r="C14" s="693" t="inlineStr">
        <is>
          <t>Factor costo empresa contrato indefinido</t>
        </is>
      </c>
      <c r="D14" s="864">
        <f>1+D6+D7+D9+D10+D11</f>
        <v/>
      </c>
      <c r="E14" s="693" t="inlineStr">
        <is>
          <t>Sueldo bruto × factor = costo empresa mensual.</t>
        </is>
      </c>
      <c r="F14" s="686" t="n"/>
      <c r="G14" s="686" t="n"/>
      <c r="H14" s="686" t="n"/>
      <c r="I14" s="686" t="n"/>
      <c r="J14" s="686" t="n"/>
      <c r="K14" s="686" t="n"/>
      <c r="L14" s="686" t="n"/>
      <c r="M14" s="686" t="n"/>
      <c r="N14" s="686" t="n"/>
      <c r="O14" s="686" t="n"/>
      <c r="P14" s="686" t="n"/>
      <c r="Q14" s="686" t="n"/>
    </row>
    <row r="15" ht="14" customHeight="1" s="549">
      <c r="A15" s="681" t="n"/>
      <c r="B15" s="681" t="n"/>
      <c r="C15" s="694" t="inlineStr">
        <is>
          <t>Factor costo empresa contrato plazo/obra</t>
        </is>
      </c>
      <c r="D15" s="865">
        <f>1+D6+D8+D9+D10+D11</f>
        <v/>
      </c>
      <c r="E15" s="694" t="inlineStr">
        <is>
          <t>Sueldo bruto × factor = costo empresa mensual.</t>
        </is>
      </c>
      <c r="F15" s="681" t="n"/>
      <c r="G15" s="681" t="n"/>
      <c r="H15" s="681" t="n"/>
      <c r="I15" s="681" t="n"/>
      <c r="J15" s="681" t="n"/>
      <c r="K15" s="681" t="n"/>
      <c r="L15" s="681" t="n"/>
      <c r="M15" s="681" t="n"/>
      <c r="N15" s="681" t="n"/>
      <c r="O15" s="681" t="n"/>
      <c r="P15" s="681" t="n"/>
      <c r="Q15" s="681" t="n"/>
    </row>
    <row r="16" ht="11.25" customHeight="1" s="549"/>
    <row r="17" ht="14" customHeight="1" s="549">
      <c r="A17" s="686" t="n"/>
      <c r="B17" s="693" t="inlineStr">
        <is>
          <t>2) Tabla para definir el valor unitario a ingresar en Servicios Profesionales</t>
        </is>
      </c>
      <c r="C17" s="686" t="n"/>
      <c r="D17" s="686" t="n"/>
      <c r="E17" s="686" t="n"/>
      <c r="F17" s="686" t="n"/>
      <c r="G17" s="686" t="n"/>
      <c r="H17" s="686" t="n"/>
      <c r="I17" s="686" t="n"/>
      <c r="J17" s="686" t="n"/>
      <c r="K17" s="686" t="n"/>
      <c r="L17" s="686" t="n"/>
      <c r="M17" s="686" t="n"/>
      <c r="N17" s="686" t="n"/>
      <c r="O17" s="686" t="n"/>
      <c r="P17" s="686" t="n"/>
      <c r="Q17" s="686" t="n"/>
    </row>
    <row r="18" ht="22.5" customHeight="1" s="549"/>
    <row r="19" ht="14" customHeight="1" s="549">
      <c r="A19" s="681" t="n"/>
      <c r="B19" s="733" t="inlineStr">
        <is>
          <t>Nivel</t>
        </is>
      </c>
      <c r="C19" s="733" t="inlineStr">
        <is>
          <t>Ítem</t>
        </is>
      </c>
      <c r="D19" s="733" t="inlineStr">
        <is>
          <t>Modalidad</t>
        </is>
      </c>
      <c r="E19" s="733" t="inlineStr">
        <is>
          <t>Tipo contrato</t>
        </is>
      </c>
      <c r="F19" s="733" t="inlineStr">
        <is>
          <t>Tipo monto base</t>
        </is>
      </c>
      <c r="G19" s="733" t="inlineStr">
        <is>
          <t>Monto base ingresado</t>
        </is>
      </c>
      <c r="H19" s="733" t="inlineStr">
        <is>
          <t>Cant./meses/inst.</t>
        </is>
      </c>
      <c r="I19" s="733" t="inlineStr">
        <is>
          <t>Costo empresa unitario</t>
        </is>
      </c>
      <c r="J19" s="733" t="inlineStr">
        <is>
          <t>Valor NETO a ingresar en Supuestos</t>
        </is>
      </c>
      <c r="K19" s="733" t="inlineStr">
        <is>
          <t>IVA calculado</t>
        </is>
      </c>
      <c r="L19" s="733" t="inlineStr">
        <is>
          <t>Valor BRUTO / rendición</t>
        </is>
      </c>
      <c r="M19" s="733" t="inlineStr">
        <is>
          <t>Líquido estimado prestador/trabajador</t>
        </is>
      </c>
      <c r="N19" s="733" t="inlineStr">
        <is>
          <t>Forma pago sugerida</t>
        </is>
      </c>
      <c r="O19" s="733" t="inlineStr">
        <is>
          <t>Observación</t>
        </is>
      </c>
      <c r="P19" s="681" t="n"/>
      <c r="Q19" s="681" t="n"/>
    </row>
    <row r="20" ht="14" customHeight="1" s="549">
      <c r="A20" s="686" t="n"/>
      <c r="B20" s="756" t="inlineStr">
        <is>
          <t>4.1</t>
        </is>
      </c>
      <c r="C20" s="693" t="inlineStr">
        <is>
          <t>Encargado de Logística y Bodega</t>
        </is>
      </c>
      <c r="D20" s="693" t="inlineStr">
        <is>
          <t>Boleta honorarios</t>
        </is>
      </c>
      <c r="E20" s="756" t="inlineStr">
        <is>
          <t>Plazo/obra</t>
        </is>
      </c>
      <c r="F20" s="693" t="inlineStr">
        <is>
          <t>Líquido deseado</t>
        </is>
      </c>
      <c r="G20" s="866" t="n">
        <v>850000</v>
      </c>
      <c r="H20" s="756" t="n">
        <v>1</v>
      </c>
      <c r="I20" s="764">
        <f>IF(D19="Boleta honorarios",IF(F19="Líquido deseado",G19/(1-$D$4),G19),IF(D19="Contrato ACCIONA",IF(F19="Sueldo bruto mensual",G19*IF(E19="Indefinido",$D$13,$D$14),IF(F19="Líquido deseado",(G19/(1-$D$12))*IF(E19="Indefinido",$D$13,$D$14),G19)),IF(D19="Factura",IF(F19="Total factura con IVA",G19,G19*(1+$D$5)),0)))</f>
        <v/>
      </c>
      <c r="J20" s="764">
        <f>IF(D19="Factura",IF(F19="Total factura con IVA",G19/(1+$D$5),G19),I19)</f>
        <v/>
      </c>
      <c r="K20" s="764">
        <f>IF(D19="Factura",J19*$D$5,0)</f>
        <v/>
      </c>
      <c r="L20" s="764">
        <f>J19+K19</f>
        <v/>
      </c>
      <c r="M20" s="764">
        <f>IF(D19="Boleta honorarios",J19*(1-$D$4),IF(D19="Contrato ACCIONA",IF(F19="Líquido deseado",G19,IF(F19="Sueldo bruto mensual",G19*(1-$D$12),"")),L19))</f>
        <v/>
      </c>
      <c r="N20" s="693">
        <f>IF(D19="Boleta honorarios","Boleta Honorarios",IF(D19="Contrato ACCIONA","Costo Empresa","Factura"))</f>
        <v/>
      </c>
      <c r="O20" s="693" t="inlineStr">
        <is>
          <t>Si se quiere que reciba líquido $1.000.000, la empresa debe presupuestar la boleta bruta.</t>
        </is>
      </c>
      <c r="P20" s="686" t="n"/>
      <c r="Q20" s="686" t="n"/>
    </row>
    <row r="21" ht="14" customHeight="1" s="549">
      <c r="A21" s="681" t="n"/>
      <c r="B21" s="733" t="inlineStr">
        <is>
          <t>4.2</t>
        </is>
      </c>
      <c r="C21" s="694" t="inlineStr">
        <is>
          <t>Técnico pago por instalación - Plan A</t>
        </is>
      </c>
      <c r="D21" s="694" t="inlineStr">
        <is>
          <t>Boleta honorarios</t>
        </is>
      </c>
      <c r="E21" s="733" t="inlineStr">
        <is>
          <t>Plazo/obra</t>
        </is>
      </c>
      <c r="F21" s="694" t="inlineStr">
        <is>
          <t>Líquido deseado</t>
        </is>
      </c>
      <c r="G21" s="867" t="n">
        <v>125000</v>
      </c>
      <c r="H21" s="733" t="n">
        <v>1</v>
      </c>
      <c r="I21" s="762">
        <f>IF(D20="Boleta honorarios",IF(F20="Líquido deseado",G20/(1-$D$4),G20),IF(D20="Contrato ACCIONA",IF(F20="Sueldo bruto mensual",G20*IF(E20="Indefinido",$D$13,$D$14),IF(F20="Líquido deseado",(G20/(1-$D$12))*IF(E20="Indefinido",$D$13,$D$14),G20)),IF(D20="Factura",IF(F20="Total factura con IVA",G20,G20*(1+$D$5)),0)))</f>
        <v/>
      </c>
      <c r="J21" s="762">
        <f>IF(D20="Factura",IF(F20="Total factura con IVA",G20/(1+$D$5),G20),I20)</f>
        <v/>
      </c>
      <c r="K21" s="762">
        <f>IF(D20="Factura",J20*$D$5,0)</f>
        <v/>
      </c>
      <c r="L21" s="762">
        <f>J20+K20</f>
        <v/>
      </c>
      <c r="M21" s="762">
        <f>IF(D20="Boleta honorarios",J20*(1-$D$4),IF(D20="Contrato ACCIONA",IF(F20="Líquido deseado",G20,IF(F20="Sueldo bruto mensual",G20*(1-$D$12),"")),L20))</f>
        <v/>
      </c>
      <c r="N21" s="694">
        <f>IF(D20="Boleta honorarios","Boleta Honorarios",IF(D20="Contrato ACCIONA","Costo Empresa","Factura"))</f>
        <v/>
      </c>
      <c r="O21" s="694" t="inlineStr">
        <is>
          <t>Útil para pago por instalación: convierte líquido pactado a costo empresa por boleta.</t>
        </is>
      </c>
      <c r="P21" s="681" t="n"/>
      <c r="Q21" s="681" t="n"/>
    </row>
    <row r="22" ht="14" customHeight="1" s="549">
      <c r="A22" s="686" t="n"/>
      <c r="B22" s="756" t="inlineStr">
        <is>
          <t>4.3</t>
        </is>
      </c>
      <c r="C22" s="693" t="inlineStr">
        <is>
          <t>Técnico contrato mensual - Plan B</t>
        </is>
      </c>
      <c r="D22" s="693" t="inlineStr">
        <is>
          <t>Contrato ACCIONA</t>
        </is>
      </c>
      <c r="E22" s="756" t="inlineStr">
        <is>
          <t>Plazo/obra</t>
        </is>
      </c>
      <c r="F22" s="693" t="inlineStr">
        <is>
          <t>Sueldo bruto mensual</t>
        </is>
      </c>
      <c r="G22" s="866" t="n">
        <v>1365000</v>
      </c>
      <c r="H22" s="756" t="n">
        <v>1</v>
      </c>
      <c r="I22" s="764">
        <f>IF(D21="Boleta honorarios",IF(F21="Líquido deseado",G21/(1-$D$4),G21),IF(D21="Contrato ACCIONA",IF(F21="Sueldo bruto mensual",G21*IF(E21="Indefinido",$D$13,$D$14),IF(F21="Líquido deseado",(G21/(1-$D$12))*IF(E21="Indefinido",$D$13,$D$14),G21)),IF(D21="Factura",IF(F21="Total factura con IVA",G21,G21*(1+$D$5)),0)))</f>
        <v/>
      </c>
      <c r="J22" s="764">
        <f>IF(D21="Factura",IF(F21="Total factura con IVA",G21/(1+$D$5),G21),I21)</f>
        <v/>
      </c>
      <c r="K22" s="764">
        <f>IF(D21="Factura",J21*$D$5,0)</f>
        <v/>
      </c>
      <c r="L22" s="764">
        <f>J21+K21</f>
        <v/>
      </c>
      <c r="M22" s="764">
        <f>IF(D21="Boleta honorarios",J21*(1-$D$4),IF(D21="Contrato ACCIONA",IF(F21="Líquido deseado",G21,IF(F21="Sueldo bruto mensual",G21*(1-$D$12),"")),L21))</f>
        <v/>
      </c>
      <c r="N22" s="693">
        <f>IF(D21="Boleta honorarios","Boleta Honorarios",IF(D21="Contrato ACCIONA","Costo Empresa","Factura"))</f>
        <v/>
      </c>
      <c r="O22" s="693" t="inlineStr">
        <is>
          <t>Para contrato, el valor a presupuestar es sueldo bruto más cargas de cargo empresa.</t>
        </is>
      </c>
      <c r="P22" s="686" t="n"/>
      <c r="Q22" s="686" t="n"/>
    </row>
    <row r="23" ht="14" customHeight="1" s="549">
      <c r="A23" s="681" t="n"/>
      <c r="B23" s="733" t="inlineStr">
        <is>
          <t>4.4</t>
        </is>
      </c>
      <c r="C23" s="694" t="inlineStr">
        <is>
          <t>Ayudante contrato mensual - Plan B</t>
        </is>
      </c>
      <c r="D23" s="694" t="inlineStr">
        <is>
          <t>Contrato ACCIONA</t>
        </is>
      </c>
      <c r="E23" s="733" t="inlineStr">
        <is>
          <t>Plazo/obra</t>
        </is>
      </c>
      <c r="F23" s="694" t="inlineStr">
        <is>
          <t>Sueldo bruto mensual</t>
        </is>
      </c>
      <c r="G23" s="867" t="n">
        <v>750000</v>
      </c>
      <c r="H23" s="733" t="n">
        <v>1</v>
      </c>
      <c r="I23" s="762">
        <f>IF(D22="Boleta honorarios",IF(F22="Líquido deseado",G22/(1-$D$4),G22),IF(D22="Contrato ACCIONA",IF(F22="Sueldo bruto mensual",G22*IF(E22="Indefinido",$D$13,$D$14),IF(F22="Líquido deseado",(G22/(1-$D$12))*IF(E22="Indefinido",$D$13,$D$14),G22)),IF(D22="Factura",IF(F22="Total factura con IVA",G22,G22*(1+$D$5)),0)))</f>
        <v/>
      </c>
      <c r="J23" s="762">
        <f>IF(D22="Factura",IF(F22="Total factura con IVA",G22/(1+$D$5),G22),I22)</f>
        <v/>
      </c>
      <c r="K23" s="762">
        <f>IF(D22="Factura",J22*$D$5,0)</f>
        <v/>
      </c>
      <c r="L23" s="762">
        <f>J22+K22</f>
        <v/>
      </c>
      <c r="M23" s="762">
        <f>IF(D22="Boleta honorarios",J22*(1-$D$4),IF(D22="Contrato ACCIONA",IF(F22="Líquido deseado",G22,IF(F22="Sueldo bruto mensual",G22*(1-$D$12),"")),L22))</f>
        <v/>
      </c>
      <c r="N23" s="694">
        <f>IF(D22="Boleta honorarios","Boleta Honorarios",IF(D22="Contrato ACCIONA","Costo Empresa","Factura"))</f>
        <v/>
      </c>
      <c r="O23" s="694" t="inlineStr">
        <is>
          <t>Para contrato, validar factor final con RR.HH. / Payroll ACCIONA.</t>
        </is>
      </c>
      <c r="P23" s="681" t="n"/>
      <c r="Q23" s="681" t="n"/>
    </row>
    <row r="24" ht="14" customHeight="1" s="549">
      <c r="A24" s="686" t="n"/>
      <c r="B24" s="756" t="inlineStr">
        <is>
          <t>4.5</t>
        </is>
      </c>
      <c r="C24" s="693" t="inlineStr">
        <is>
          <t>Personal apoyo Planos TE1</t>
        </is>
      </c>
      <c r="D24" s="693" t="inlineStr">
        <is>
          <t>Boleta honorarios</t>
        </is>
      </c>
      <c r="E24" s="756" t="inlineStr">
        <is>
          <t>Plazo/obra</t>
        </is>
      </c>
      <c r="F24" s="693" t="inlineStr">
        <is>
          <t>Líquido deseado</t>
        </is>
      </c>
      <c r="G24" s="866" t="n">
        <v>5000</v>
      </c>
      <c r="H24" s="756" t="n">
        <v>1</v>
      </c>
      <c r="I24" s="764">
        <f>IF(D23="Boleta honorarios",IF(F23="Líquido deseado",G23/(1-$D$4),G23),IF(D23="Contrato ACCIONA",IF(F23="Sueldo bruto mensual",G23*IF(E23="Indefinido",$D$13,$D$14),IF(F23="Líquido deseado",(G23/(1-$D$12))*IF(E23="Indefinido",$D$13,$D$14),G23)),IF(D23="Factura",IF(F23="Total factura con IVA",G23,G23*(1+$D$5)),0)))</f>
        <v/>
      </c>
      <c r="J24" s="764">
        <f>IF(D23="Factura",IF(F23="Total factura con IVA",G23/(1+$D$5),G23),I23)</f>
        <v/>
      </c>
      <c r="K24" s="764">
        <f>IF(D23="Factura",J23*$D$5,0)</f>
        <v/>
      </c>
      <c r="L24" s="764">
        <f>J23+K23</f>
        <v/>
      </c>
      <c r="M24" s="764">
        <f>IF(D23="Boleta honorarios",J23*(1-$D$4),IF(D23="Contrato ACCIONA",IF(F23="Líquido deseado",G23,IF(F23="Sueldo bruto mensual",G23*(1-$D$12),"")),L23))</f>
        <v/>
      </c>
      <c r="N24" s="693">
        <f>IF(D23="Boleta honorarios","Boleta Honorarios",IF(D23="Contrato ACCIONA","Costo Empresa","Factura"))</f>
        <v/>
      </c>
      <c r="O24" s="693" t="inlineStr">
        <is>
          <t>Pago menor por unidad: convierte líquido pactado a boleta bruta.</t>
        </is>
      </c>
      <c r="P24" s="686" t="n"/>
      <c r="Q24" s="686" t="n"/>
    </row>
    <row r="25" ht="14" customHeight="1" s="549">
      <c r="A25" s="681" t="n"/>
      <c r="B25" s="733" t="inlineStr">
        <is>
          <t>Caso</t>
        </is>
      </c>
      <c r="C25" s="694" t="inlineStr">
        <is>
          <t>Simulación libre — servicio con factura</t>
        </is>
      </c>
      <c r="D25" s="694" t="inlineStr">
        <is>
          <t>Factura</t>
        </is>
      </c>
      <c r="E25" s="733" t="inlineStr">
        <is>
          <t>Plazo/obra</t>
        </is>
      </c>
      <c r="F25" s="694" t="inlineStr">
        <is>
          <t>Bruto boleta/Neto factura/Costo empresa</t>
        </is>
      </c>
      <c r="G25" s="867" t="n">
        <v>1000000</v>
      </c>
      <c r="H25" s="733" t="n">
        <v>1</v>
      </c>
      <c r="I25" s="762">
        <f>IF(D24="Boleta honorarios",IF(F24="Líquido deseado",G24/(1-$D$4),G24),IF(D24="Contrato ACCIONA",IF(F24="Sueldo bruto mensual",G24*IF(E24="Indefinido",$D$13,$D$14),IF(F24="Líquido deseado",(G24/(1-$D$12))*IF(E24="Indefinido",$D$13,$D$14),G24)),IF(D24="Factura",IF(F24="Total factura con IVA",G24,G24*(1+$D$5)),0)))</f>
        <v/>
      </c>
      <c r="J25" s="762">
        <f>IF(D24="Factura",IF(F24="Total factura con IVA",G24/(1+$D$5),G24),I24)</f>
        <v/>
      </c>
      <c r="K25" s="762">
        <f>IF(D24="Factura",J24*$D$5,0)</f>
        <v/>
      </c>
      <c r="L25" s="762">
        <f>J24+K24</f>
        <v/>
      </c>
      <c r="M25" s="762">
        <f>IF(D24="Boleta honorarios",J24*(1-$D$4),IF(D24="Contrato ACCIONA",IF(F24="Líquido deseado",G24,IF(F24="Sueldo bruto mensual",G24*(1-$D$12),"")),L24))</f>
        <v/>
      </c>
      <c r="N25" s="694">
        <f>IF(D24="Boleta honorarios","Boleta Honorarios",IF(D24="Contrato ACCIONA","Costo Empresa","Factura"))</f>
        <v/>
      </c>
      <c r="O25" s="694" t="inlineStr">
        <is>
          <t>Ejemplo: proveedor empresa factura neto $1.000.000 + IVA.</t>
        </is>
      </c>
      <c r="P25" s="681" t="n"/>
      <c r="Q25" s="681" t="n"/>
    </row>
    <row r="26" ht="14" customHeight="1" s="549">
      <c r="A26" s="686" t="n"/>
      <c r="B26" s="756" t="inlineStr">
        <is>
          <t>Caso</t>
        </is>
      </c>
      <c r="C26" s="693" t="inlineStr">
        <is>
          <t>Simulación libre — boleta por monto bruto</t>
        </is>
      </c>
      <c r="D26" s="693" t="inlineStr">
        <is>
          <t>Boleta honorarios</t>
        </is>
      </c>
      <c r="E26" s="756" t="inlineStr">
        <is>
          <t>Plazo/obra</t>
        </is>
      </c>
      <c r="F26" s="693" t="inlineStr">
        <is>
          <t>Bruto boleta/Neto factura/Costo empresa</t>
        </is>
      </c>
      <c r="G26" s="866" t="n">
        <v>1000000</v>
      </c>
      <c r="H26" s="756" t="n">
        <v>1</v>
      </c>
      <c r="I26" s="764">
        <f>IF(D25="Boleta honorarios",IF(F25="Líquido deseado",G25/(1-$D$4),G25),IF(D25="Contrato ACCIONA",IF(F25="Sueldo bruto mensual",G25*IF(E25="Indefinido",$D$13,$D$14),IF(F25="Líquido deseado",(G25/(1-$D$12))*IF(E25="Indefinido",$D$13,$D$14),G25)),IF(D25="Factura",IF(F25="Total factura con IVA",G25,G25*(1+$D$5)),0)))</f>
        <v/>
      </c>
      <c r="J26" s="764">
        <f>IF(D25="Factura",IF(F25="Total factura con IVA",G25/(1+$D$5),G25),I25)</f>
        <v/>
      </c>
      <c r="K26" s="764">
        <f>IF(D25="Factura",J25*$D$5,0)</f>
        <v/>
      </c>
      <c r="L26" s="764">
        <f>J25+K25</f>
        <v/>
      </c>
      <c r="M26" s="764">
        <f>IF(D25="Boleta honorarios",J25*(1-$D$4),IF(D25="Contrato ACCIONA",IF(F25="Líquido deseado",G25,IF(F25="Sueldo bruto mensual",G25*(1-$D$12),"")),L25))</f>
        <v/>
      </c>
      <c r="N26" s="693">
        <f>IF(D25="Boleta honorarios","Boleta Honorarios",IF(D25="Contrato ACCIONA","Costo Empresa","Factura"))</f>
        <v/>
      </c>
      <c r="O26" s="693" t="inlineStr">
        <is>
          <t>Ejemplo: si se pacta boleta bruta $1.000.000, líquido estimado = bruto - retención.</t>
        </is>
      </c>
      <c r="P26" s="686" t="n"/>
      <c r="Q26" s="686" t="n"/>
    </row>
    <row r="27" ht="11.25" customHeight="1" s="549"/>
    <row r="28" ht="14" customHeight="1" s="549">
      <c r="A28" s="681" t="n"/>
      <c r="B28" s="733" t="inlineStr">
        <is>
          <t>TOTAL</t>
        </is>
      </c>
      <c r="C28" s="681" t="n"/>
      <c r="D28" s="681" t="n"/>
      <c r="E28" s="681" t="n"/>
      <c r="F28" s="681" t="n"/>
      <c r="G28" s="681" t="n"/>
      <c r="H28" s="681" t="n"/>
      <c r="I28" s="762">
        <f>SUMPRODUCT(I19:I25,H19:H25)</f>
        <v/>
      </c>
      <c r="J28" s="762">
        <f>SUMPRODUCT(J19:J25,H19:H25)</f>
        <v/>
      </c>
      <c r="K28" s="762">
        <f>SUMPRODUCT(K19:K25,H19:H25)</f>
        <v/>
      </c>
      <c r="L28" s="762">
        <f>SUMPRODUCT(L19:L25,H19:H25)</f>
        <v/>
      </c>
      <c r="M28" s="762">
        <f>SUMPRODUCT(M19:M25,H19:H25)</f>
        <v/>
      </c>
      <c r="N28" s="694" t="n"/>
      <c r="O28" s="694" t="n"/>
      <c r="P28" s="681" t="n"/>
      <c r="Q28" s="681" t="n"/>
    </row>
    <row r="29"/>
    <row r="30" ht="11.25" customHeight="1" s="549"/>
    <row r="31" ht="14" customHeight="1" s="549">
      <c r="A31" s="686" t="n"/>
      <c r="B31" s="693" t="inlineStr">
        <is>
          <t>3) Propuesta de uso en el modelo</t>
        </is>
      </c>
      <c r="C31" s="686" t="n"/>
      <c r="D31" s="686" t="n"/>
      <c r="E31" s="686" t="n"/>
      <c r="F31" s="686" t="n"/>
      <c r="G31" s="686" t="n"/>
      <c r="H31" s="686" t="n"/>
      <c r="I31" s="686" t="n"/>
      <c r="J31" s="686" t="n"/>
      <c r="K31" s="686" t="n"/>
      <c r="L31" s="686" t="n"/>
      <c r="M31" s="686" t="n"/>
      <c r="N31" s="686" t="n"/>
      <c r="O31" s="686" t="n"/>
      <c r="P31" s="686" t="n"/>
      <c r="Q31" s="686" t="n"/>
    </row>
    <row r="32" ht="14" customHeight="1" s="549">
      <c r="A32" s="681" t="n"/>
      <c r="B32" s="694" t="inlineStr">
        <is>
          <t>Caso boleta de honorarios</t>
        </is>
      </c>
      <c r="C32" s="694" t="inlineStr">
        <is>
          <t>Usar “Líquido deseado” cuando la persona espera recibir un monto líquido. El modelo calcula la boleta bruta que debe presupuestar la empresa. No aplica IVA.</t>
        </is>
      </c>
      <c r="D32" s="681" t="n"/>
      <c r="E32" s="681" t="n"/>
      <c r="F32" s="681" t="n"/>
      <c r="G32" s="681" t="n"/>
      <c r="H32" s="681" t="n"/>
      <c r="I32" s="681" t="n"/>
      <c r="J32" s="681" t="n"/>
      <c r="K32" s="681" t="n"/>
      <c r="L32" s="681" t="n"/>
      <c r="M32" s="681" t="n"/>
      <c r="N32" s="681" t="n"/>
      <c r="O32" s="681" t="n"/>
      <c r="P32" s="681" t="n"/>
      <c r="Q32" s="681" t="n"/>
    </row>
    <row r="33" ht="14" customHeight="1" s="549">
      <c r="A33" s="686" t="n"/>
      <c r="B33" s="693" t="inlineStr">
        <is>
          <t>Caso contrato ACCIONA</t>
        </is>
      </c>
      <c r="C33" s="693" t="inlineStr">
        <is>
          <t>Usar “Sueldo bruto mensual” y seleccionar tipo de contrato. El modelo calcula costo empresa con cargas editables. Validar factor final con RR.HH./Payroll.</t>
        </is>
      </c>
      <c r="D33" s="686" t="n"/>
      <c r="E33" s="686" t="n"/>
      <c r="F33" s="686" t="n"/>
      <c r="G33" s="686" t="n"/>
      <c r="H33" s="686" t="n"/>
      <c r="I33" s="686" t="n"/>
      <c r="J33" s="686" t="n"/>
      <c r="K33" s="686" t="n"/>
      <c r="L33" s="686" t="n"/>
      <c r="M33" s="686" t="n"/>
      <c r="N33" s="686" t="n"/>
      <c r="O33" s="686" t="n"/>
      <c r="P33" s="686" t="n"/>
      <c r="Q33" s="686" t="n"/>
    </row>
    <row r="34" ht="14" customHeight="1" s="549">
      <c r="A34" s="681" t="n"/>
      <c r="B34" s="694" t="inlineStr">
        <is>
          <t>Caso factura</t>
        </is>
      </c>
      <c r="C34" s="694" t="inlineStr">
        <is>
          <t>Usar “Neto factura” si el proveedor cotiza neto, o “Total factura con IVA” si entrega total. El modelo separa neto, IVA y bruto para rendición.</t>
        </is>
      </c>
      <c r="D34" s="681" t="n"/>
      <c r="E34" s="681" t="n"/>
      <c r="F34" s="681" t="n"/>
      <c r="G34" s="681" t="n"/>
      <c r="H34" s="681" t="n"/>
      <c r="I34" s="681" t="n"/>
      <c r="J34" s="681" t="n"/>
      <c r="K34" s="681" t="n"/>
      <c r="L34" s="681" t="n"/>
      <c r="M34" s="681" t="n"/>
      <c r="N34" s="681" t="n"/>
      <c r="O34" s="681" t="n"/>
      <c r="P34" s="681" t="n"/>
      <c r="Q34" s="681" t="n"/>
    </row>
    <row r="35" ht="14" customHeight="1" s="549">
      <c r="A35" s="686" t="n"/>
      <c r="B35" s="693" t="inlineStr">
        <is>
          <t>Qué valor copiar a Supuestos</t>
        </is>
      </c>
      <c r="C35" s="693" t="inlineStr">
        <is>
          <t>Copiar la columna “Valor NETO a ingresar en Supuestos” al valor unitario del ítem 4.x. La “Forma pago sugerida” debe coincidir con el tipo de documento.</t>
        </is>
      </c>
      <c r="D35" s="686" t="n"/>
      <c r="E35" s="686" t="n"/>
      <c r="F35" s="686" t="n"/>
      <c r="G35" s="686" t="n"/>
      <c r="H35" s="686" t="n"/>
      <c r="I35" s="686" t="n"/>
      <c r="J35" s="686" t="n"/>
      <c r="K35" s="686" t="n"/>
      <c r="L35" s="686" t="n"/>
      <c r="M35" s="686" t="n"/>
      <c r="N35" s="686" t="n"/>
      <c r="O35" s="686" t="n"/>
      <c r="P35" s="686" t="n"/>
      <c r="Q35" s="686" t="n"/>
    </row>
    <row r="36" ht="14" customHeight="1" s="549">
      <c r="A36" s="681" t="n"/>
      <c r="B36" s="694" t="inlineStr">
        <is>
          <t>Control</t>
        </is>
      </c>
      <c r="C36" s="694" t="inlineStr">
        <is>
          <t>La tabla no modifica automáticamente los ítems 4.x existentes; queda como respaldo de cálculo para evitar tocar Flujo Neto, Flujo Bruto, Analítica o Cashflow.</t>
        </is>
      </c>
      <c r="D36" s="681" t="n"/>
      <c r="E36" s="681" t="n"/>
      <c r="F36" s="681" t="n"/>
      <c r="G36" s="681" t="n"/>
      <c r="H36" s="681" t="n"/>
      <c r="I36" s="681" t="n"/>
      <c r="J36" s="681" t="n"/>
      <c r="K36" s="681" t="n"/>
      <c r="L36" s="681" t="n"/>
      <c r="M36" s="681" t="n"/>
      <c r="N36" s="681" t="n"/>
      <c r="O36" s="681" t="n"/>
      <c r="P36" s="681" t="n"/>
      <c r="Q36" s="681" t="n"/>
    </row>
  </sheetData>
  <mergeCells count="11">
    <mergeCell ref="B27:H27"/>
    <mergeCell ref="C31:O31"/>
    <mergeCell ref="B1:Q1"/>
    <mergeCell ref="C35:O35"/>
    <mergeCell ref="C34:O34"/>
    <mergeCell ref="B30:Q30"/>
    <mergeCell ref="B16:Q16"/>
    <mergeCell ref="A1:Q1"/>
    <mergeCell ref="C33:O33"/>
    <mergeCell ref="B2:Q2"/>
    <mergeCell ref="C32:O32"/>
  </mergeCells>
  <dataValidations count="3">
    <dataValidation sqref="F19:F25" showDropDown="0" showInputMessage="0" showErrorMessage="0" allowBlank="0" type="list">
      <formula1>"Líquido deseado,Bruto boleta/Neto factura/Costo empresa,Sueldo bruto mensual,Total factura con IVA"</formula1>
      <formula2>0</formula2>
    </dataValidation>
    <dataValidation sqref="E19:E25" showDropDown="0" showInputMessage="0" showErrorMessage="0" allowBlank="0" type="list">
      <formula1>"Indefinido,Plazo/obra"</formula1>
      <formula2>0</formula2>
    </dataValidation>
    <dataValidation sqref="D19:D25" showDropDown="0" showInputMessage="0" showErrorMessage="0" allowBlank="0" type="list">
      <formula1>"Boleta honorarios,Contrato ACCIONA,Factura"</formula1>
      <formula2>0</formula2>
    </dataValidation>
  </dataValidation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15.xml><?xml version="1.0" encoding="utf-8"?>
<worksheet xmlns="http://schemas.openxmlformats.org/spreadsheetml/2006/main">
  <sheetPr>
    <tabColor rgb="FFC55A11"/>
    <outlinePr summaryBelow="1" summaryRight="1"/>
    <pageSetUpPr fitToPage="1"/>
  </sheetPr>
  <dimension ref="A1:N57"/>
  <sheetViews>
    <sheetView showGridLines="0" zoomScaleNormal="100" workbookViewId="0">
      <pane xSplit="3" ySplit="7" topLeftCell="D8" activePane="bottomRight" state="frozen"/>
      <selection pane="topRight" activeCell="D1" sqref="D1"/>
      <selection pane="bottomLeft" activeCell="A8" sqref="A8"/>
      <selection pane="bottomRight" activeCell="K9" sqref="K9"/>
    </sheetView>
  </sheetViews>
  <sheetFormatPr baseColWidth="10" defaultColWidth="8.7109375" defaultRowHeight="15"/>
  <cols>
    <col width="47" customWidth="1" style="549" min="1" max="1"/>
    <col width="47" customWidth="1" style="549" min="2" max="2"/>
    <col width="10" customWidth="1" style="549" min="3" max="3"/>
    <col width="47" customWidth="1" style="549" min="4" max="4"/>
    <col width="29" customWidth="1" style="549" min="5" max="6"/>
    <col width="18" customWidth="1" style="549" min="6" max="6"/>
    <col width="47" customWidth="1" style="549" min="7" max="7"/>
    <col width="47" customWidth="1" style="549" min="8" max="8"/>
    <col width="47" customWidth="1" style="549" min="9" max="9"/>
    <col width="47" customWidth="1" style="549" min="10" max="10"/>
    <col width="24" customWidth="1" style="549" min="11" max="11"/>
    <col width="18" customWidth="1" style="549" min="12" max="12"/>
    <col width="22" customWidth="1" style="549" min="13" max="13"/>
    <col width="47" customWidth="1" style="549" min="14" max="14"/>
  </cols>
  <sheetData>
    <row r="1" ht="20" customHeight="1" s="549">
      <c r="A1" s="746" t="inlineStr">
        <is>
          <t>RENDICIÓN DE CUENTAS — PROYECTO LUZ EN CASA · GORE COQUIMBO</t>
        </is>
      </c>
    </row>
    <row r="2">
      <c r="A2" s="633" t="inlineStr">
        <is>
          <t>Subtítulo 33 · Transferencias de Capital | Marco normativo: Res. 30/2015 CGR + Res. Ex. 1.858/2023 CGR (SISREC) | Convenio de Transferencia GORE Coquimbo</t>
        </is>
      </c>
    </row>
    <row r="3" ht="24" customHeight="1" s="549">
      <c r="A3" s="747" t="inlineStr">
        <is>
          <t>Proyecto:</t>
        </is>
      </c>
      <c r="B3" s="747" t="inlineStr">
        <is>
          <t>Luz en Casa GORE — Sistemas Fotovoltaicos Domiciliarios (60 instalaciones)</t>
        </is>
      </c>
      <c r="C3" s="747" t="n"/>
      <c r="D3" s="747" t="n"/>
      <c r="E3" s="747" t="n"/>
      <c r="F3" s="747" t="n"/>
      <c r="G3" s="747" t="inlineStr">
        <is>
          <t>Ejecutor:</t>
        </is>
      </c>
      <c r="H3" s="747" t="inlineStr">
        <is>
          <t>Fundación acciona.org (Grupo ACCIONA)</t>
        </is>
      </c>
      <c r="I3" s="747" t="n"/>
      <c r="J3" s="747" t="n"/>
      <c r="K3" s="747" t="inlineStr">
        <is>
          <t>Rev.:</t>
        </is>
      </c>
      <c r="L3" s="747" t="n"/>
      <c r="M3" s="747" t="inlineStr">
        <is>
          <t>v1.0 — 2025-05-13</t>
        </is>
      </c>
      <c r="N3" s="747" t="n"/>
    </row>
    <row r="4" ht="14" customHeight="1" s="549">
      <c r="A4" s="681" t="inlineStr">
        <is>
          <t>Región:</t>
        </is>
      </c>
      <c r="B4" s="681" t="inlineStr">
        <is>
          <t>Coquimbo</t>
        </is>
      </c>
      <c r="C4" s="681" t="n"/>
      <c r="D4" s="681" t="n"/>
      <c r="E4" s="681" t="n"/>
      <c r="F4" s="681" t="n"/>
      <c r="G4" s="681" t="inlineStr">
        <is>
          <t>Subtítulo:</t>
        </is>
      </c>
      <c r="H4" s="681" t="inlineStr">
        <is>
          <t>33 — Transferencias de Capital</t>
        </is>
      </c>
      <c r="I4" s="681" t="n"/>
      <c r="J4" s="681" t="n"/>
      <c r="K4" s="681" t="inlineStr">
        <is>
          <t>Moneda:</t>
        </is>
      </c>
      <c r="L4" s="681" t="n"/>
      <c r="M4" s="681" t="inlineStr">
        <is>
          <t>CLP (pesos chilenos)</t>
        </is>
      </c>
      <c r="N4" s="681" t="n"/>
    </row>
    <row r="5" ht="14" customHeight="1" s="549">
      <c r="A5" s="686" t="inlineStr">
        <is>
          <t>Aporte GORE:</t>
        </is>
      </c>
      <c r="B5" s="686" t="n"/>
      <c r="C5" s="686" t="n"/>
      <c r="D5" s="868">
        <f>'General GORE'!F4</f>
        <v/>
      </c>
      <c r="E5" s="686" t="inlineStr">
        <is>
          <t>Monto equip+traslados (K3):</t>
        </is>
      </c>
      <c r="F5" s="686" t="n"/>
      <c r="G5" s="686" t="n"/>
      <c r="H5" s="868">
        <f>Supuestos!F74</f>
        <v/>
      </c>
      <c r="I5" s="686" t="inlineStr">
        <is>
          <t>GORE financia:</t>
        </is>
      </c>
      <c r="J5" s="686" t="inlineStr">
        <is>
          <t>100% equipos + traslados asociados (ítem 1 + ítem 7)</t>
        </is>
      </c>
      <c r="K5" s="686" t="n"/>
      <c r="L5" s="686" t="n"/>
      <c r="M5" s="686" t="n"/>
      <c r="N5" s="686" t="n"/>
    </row>
    <row r="6" ht="14" customHeight="1" s="549">
      <c r="A6" s="730" t="inlineStr">
        <is>
          <t>DETALLE DE GASTOS — LENGUAJE RENDICIÓN FNDR</t>
        </is>
      </c>
      <c r="B6" s="681" t="n"/>
      <c r="C6" s="681" t="n"/>
      <c r="D6" s="681" t="n"/>
      <c r="E6" s="681" t="n"/>
      <c r="F6" s="681" t="n"/>
      <c r="G6" s="681" t="n"/>
      <c r="H6" s="681" t="n"/>
      <c r="I6" s="681" t="n"/>
      <c r="J6" s="681" t="n"/>
      <c r="K6" s="681" t="n"/>
      <c r="L6" s="681" t="n"/>
      <c r="M6" s="681" t="n"/>
      <c r="N6" s="681" t="n"/>
    </row>
    <row r="7" ht="14" customHeight="1" s="549">
      <c r="A7" s="756" t="inlineStr">
        <is>
          <t>N°</t>
        </is>
      </c>
      <c r="B7" s="756" t="inlineStr">
        <is>
          <t>Cód.
Analítica</t>
        </is>
      </c>
      <c r="C7" s="756" t="inlineStr">
        <is>
          <t>Cód.
CF</t>
        </is>
      </c>
      <c r="D7" s="756" t="inlineStr">
        <is>
          <t>Ítem / Descripción del Gasto</t>
        </is>
      </c>
      <c r="E7" s="756" t="inlineStr">
        <is>
          <t>Tipo Doc.
Respaldo</t>
        </is>
      </c>
      <c r="F7" s="756" t="inlineStr">
        <is>
          <t>Proveedor /
RUT</t>
        </is>
      </c>
      <c r="G7" s="756" t="inlineStr">
        <is>
          <t>Glosa para
Rendición SISREC</t>
        </is>
      </c>
      <c r="H7" s="756" t="inlineStr">
        <is>
          <t>Monto NETO
(CLP)</t>
        </is>
      </c>
      <c r="I7" s="756" t="inlineStr">
        <is>
          <t>IVA
(CLP)</t>
        </is>
      </c>
      <c r="J7" s="756" t="inlineStr">
        <is>
          <t>Monto BRUTO
(CLP)</t>
        </is>
      </c>
      <c r="K7" s="756" t="inlineStr">
        <is>
          <t>¿Financia
GORE?</t>
        </is>
      </c>
      <c r="L7" s="756" t="inlineStr">
        <is>
          <t>Monto
GORE (CLP)</t>
        </is>
      </c>
      <c r="M7" s="756" t="inlineStr">
        <is>
          <t>Estado
Rendición</t>
        </is>
      </c>
      <c r="N7" s="756" t="inlineStr">
        <is>
          <t>Observaciones /
Documentos req.</t>
        </is>
      </c>
    </row>
    <row r="8" ht="14" customHeight="1" s="549">
      <c r="A8" s="729" t="inlineStr">
        <is>
          <t xml:space="preserve">  21</t>
        </is>
      </c>
      <c r="B8" s="681" t="n"/>
      <c r="C8" s="681" t="n"/>
      <c r="D8" s="729" t="inlineStr">
        <is>
          <t>COMPRAS ACTIVABLES — SISTEMAS FV (ZIMPERTEC)</t>
        </is>
      </c>
      <c r="E8" s="681" t="n"/>
      <c r="F8" s="681" t="n"/>
      <c r="G8" s="681" t="n"/>
      <c r="H8" s="869">
        <f>Supuestos!I7</f>
        <v/>
      </c>
      <c r="I8" s="869">
        <f>Supuestos!J7</f>
        <v/>
      </c>
      <c r="J8" s="869">
        <f>Supuestos!K7</f>
        <v/>
      </c>
      <c r="K8" s="730" t="inlineStr">
        <is>
          <t>SÍ</t>
        </is>
      </c>
      <c r="L8" s="869">
        <f>Supuestos!K7</f>
        <v/>
      </c>
      <c r="M8" s="681" t="n"/>
      <c r="N8" s="681" t="n"/>
    </row>
    <row r="9" ht="14" customHeight="1" s="549">
      <c r="A9" s="757" t="inlineStr">
        <is>
          <t>1.1</t>
        </is>
      </c>
      <c r="B9" s="757" t="inlineStr">
        <is>
          <t>21.1</t>
        </is>
      </c>
      <c r="C9" s="757" t="inlineStr">
        <is>
          <t>b.1</t>
        </is>
      </c>
      <c r="D9" s="693" t="inlineStr">
        <is>
          <t>Sistemas AC (kit FV completo) — 60 unidades</t>
        </is>
      </c>
      <c r="E9" s="757" t="inlineStr">
        <is>
          <t>Factura</t>
        </is>
      </c>
      <c r="F9" s="757" t="inlineStr">
        <is>
          <t>ZIMPERTEC</t>
        </is>
      </c>
      <c r="G9" s="693" t="inlineStr">
        <is>
          <t>Adquisición kit FV domiciliario c/u sistema AC · 60 instalaciones · Factura GORE Coquimbo</t>
        </is>
      </c>
      <c r="H9" s="870">
        <f>Supuestos!I9</f>
        <v/>
      </c>
      <c r="I9" s="870">
        <f>Supuestos!J9</f>
        <v/>
      </c>
      <c r="J9" s="870">
        <f>Supuestos!K9</f>
        <v/>
      </c>
      <c r="K9" s="757" t="inlineStr">
        <is>
          <t>SÍ</t>
        </is>
      </c>
      <c r="L9" s="870">
        <f>J9</f>
        <v/>
      </c>
      <c r="M9" s="757" t="inlineStr">
        <is>
          <t>Pendiente</t>
        </is>
      </c>
      <c r="N9" s="693" t="inlineStr">
        <is>
          <t>OC Mercado Público + Acta Recepción Conforme + Inventario</t>
        </is>
      </c>
    </row>
    <row r="10" ht="14" customHeight="1" s="549">
      <c r="A10" s="730" t="inlineStr">
        <is>
          <t>1.2</t>
        </is>
      </c>
      <c r="B10" s="730" t="inlineStr">
        <is>
          <t>21.1</t>
        </is>
      </c>
      <c r="C10" s="730" t="inlineStr">
        <is>
          <t>b.1</t>
        </is>
      </c>
      <c r="D10" s="694" t="inlineStr">
        <is>
          <t>Paneles solares — 120 unidades (2 por kit)</t>
        </is>
      </c>
      <c r="E10" s="730" t="inlineStr">
        <is>
          <t>Factura</t>
        </is>
      </c>
      <c r="F10" s="730" t="inlineStr">
        <is>
          <t>ZIMPERTEC</t>
        </is>
      </c>
      <c r="G10" s="694" t="inlineStr">
        <is>
          <t>Adquisición paneles FV · 120 un · incluido en kit 1.1</t>
        </is>
      </c>
      <c r="H10" s="869">
        <f>Supuestos!I10</f>
        <v/>
      </c>
      <c r="I10" s="869">
        <f>Supuestos!J10</f>
        <v/>
      </c>
      <c r="J10" s="869">
        <f>Supuestos!K10</f>
        <v/>
      </c>
      <c r="K10" s="730" t="inlineStr">
        <is>
          <t>SÍ</t>
        </is>
      </c>
      <c r="L10" s="869">
        <f>J10</f>
        <v/>
      </c>
      <c r="M10" s="730" t="inlineStr">
        <is>
          <t>Pendiente</t>
        </is>
      </c>
      <c r="N10" s="694" t="inlineStr">
        <is>
          <t>Incluido en OC principal · verificar desglose factura</t>
        </is>
      </c>
    </row>
    <row r="11" ht="14" customHeight="1" s="549">
      <c r="A11" s="757" t="inlineStr">
        <is>
          <t>1.3</t>
        </is>
      </c>
      <c r="B11" s="757" t="inlineStr">
        <is>
          <t>21.1</t>
        </is>
      </c>
      <c r="C11" s="757" t="inlineStr">
        <is>
          <t>b.1</t>
        </is>
      </c>
      <c r="D11" s="693" t="inlineStr">
        <is>
          <t>Lámparas LED — 180 unidades (3 por kit)</t>
        </is>
      </c>
      <c r="E11" s="757" t="inlineStr">
        <is>
          <t>Factura</t>
        </is>
      </c>
      <c r="F11" s="757" t="inlineStr">
        <is>
          <t>ZIMPERTEC</t>
        </is>
      </c>
      <c r="G11" s="693" t="inlineStr">
        <is>
          <t>Adquisición lámparas LED · 180 un · incluido en kit 1.1</t>
        </is>
      </c>
      <c r="H11" s="870">
        <f>Supuestos!I11</f>
        <v/>
      </c>
      <c r="I11" s="870">
        <f>Supuestos!J11</f>
        <v/>
      </c>
      <c r="J11" s="870">
        <f>Supuestos!K11</f>
        <v/>
      </c>
      <c r="K11" s="757" t="inlineStr">
        <is>
          <t>SÍ</t>
        </is>
      </c>
      <c r="L11" s="870">
        <f>J11</f>
        <v/>
      </c>
      <c r="M11" s="757" t="inlineStr">
        <is>
          <t>Pendiente</t>
        </is>
      </c>
      <c r="N11" s="693" t="inlineStr">
        <is>
          <t>Incluido en OC principal · verificar desglose factura</t>
        </is>
      </c>
    </row>
    <row r="12" ht="14" customHeight="1" s="549">
      <c r="A12" s="730" t="inlineStr">
        <is>
          <t>1.7</t>
        </is>
      </c>
      <c r="B12" s="730" t="inlineStr">
        <is>
          <t>25.7</t>
        </is>
      </c>
      <c r="C12" s="730" t="inlineStr">
        <is>
          <t>b.7</t>
        </is>
      </c>
      <c r="D12" s="694" t="inlineStr">
        <is>
          <t>Flete equipos origen-destino</t>
        </is>
      </c>
      <c r="E12" s="730" t="inlineStr">
        <is>
          <t>Factura</t>
        </is>
      </c>
      <c r="F12" s="730" t="inlineStr">
        <is>
          <t>Transportista</t>
        </is>
      </c>
      <c r="G12" s="694" t="inlineStr">
        <is>
          <t>Traslado contenedor equipos FV · según GORE financia ítem transporte</t>
        </is>
      </c>
      <c r="H12" s="869">
        <f>Supuestos!I15</f>
        <v/>
      </c>
      <c r="I12" s="869">
        <f>Supuestos!J15</f>
        <v/>
      </c>
      <c r="J12" s="869">
        <f>Supuestos!K15</f>
        <v/>
      </c>
      <c r="K12" s="730" t="inlineStr">
        <is>
          <t>SÍ</t>
        </is>
      </c>
      <c r="L12" s="869">
        <f>J13</f>
        <v/>
      </c>
      <c r="M12" s="730" t="inlineStr">
        <is>
          <t>Pendiente</t>
        </is>
      </c>
      <c r="N12" s="694" t="inlineStr">
        <is>
          <t>Guía despacho + Factura transportista + Acta recepción</t>
        </is>
      </c>
    </row>
    <row r="13" ht="14" customHeight="1" s="549">
      <c r="A13" s="749" t="inlineStr">
        <is>
          <t xml:space="preserve">  23</t>
        </is>
      </c>
      <c r="B13" s="686" t="n"/>
      <c r="C13" s="686" t="n"/>
      <c r="D13" s="749" t="inlineStr">
        <is>
          <t>INSUMOS DE INSTALACIÓN (no activables)</t>
        </is>
      </c>
      <c r="E13" s="686" t="n"/>
      <c r="F13" s="686" t="n"/>
      <c r="G13" s="686" t="n"/>
      <c r="H13" s="870">
        <f>Supuestos!I20</f>
        <v/>
      </c>
      <c r="I13" s="870">
        <f>Supuestos!J20</f>
        <v/>
      </c>
      <c r="J13" s="870">
        <f>Supuestos!K20</f>
        <v/>
      </c>
      <c r="K13" s="757" t="inlineStr">
        <is>
          <t>NO</t>
        </is>
      </c>
      <c r="L13" s="870" t="n">
        <v>0</v>
      </c>
      <c r="M13" s="686" t="n"/>
      <c r="N13" s="686" t="n"/>
    </row>
    <row r="14" ht="14" customHeight="1" s="549">
      <c r="A14" s="730" t="inlineStr">
        <is>
          <t>2.1</t>
        </is>
      </c>
      <c r="B14" s="730" t="inlineStr">
        <is>
          <t>23</t>
        </is>
      </c>
      <c r="C14" s="730" t="inlineStr">
        <is>
          <t>b.2</t>
        </is>
      </c>
      <c r="D14" s="694" t="inlineStr">
        <is>
          <t>Estructura metálica — 60 unidades</t>
        </is>
      </c>
      <c r="E14" s="730" t="inlineStr">
        <is>
          <t>Factura</t>
        </is>
      </c>
      <c r="F14" s="730" t="inlineStr">
        <is>
          <t>Proveedor</t>
        </is>
      </c>
      <c r="G14" s="694" t="inlineStr">
        <is>
          <t>Estructura soporte panel FV · 60 un · instalación residencial</t>
        </is>
      </c>
      <c r="H14" s="869">
        <f>Supuestos!I21</f>
        <v/>
      </c>
      <c r="I14" s="869">
        <f>Supuestos!J21</f>
        <v/>
      </c>
      <c r="J14" s="869">
        <f>Supuestos!K21</f>
        <v/>
      </c>
      <c r="K14" s="730" t="inlineStr">
        <is>
          <t>NO</t>
        </is>
      </c>
      <c r="L14" s="869" t="n">
        <v>0</v>
      </c>
      <c r="M14" s="730" t="inlineStr">
        <is>
          <t>Pendiente</t>
        </is>
      </c>
      <c r="N14" s="694" t="inlineStr">
        <is>
          <t>Factura + Boleta + Acta instalación conforme</t>
        </is>
      </c>
    </row>
    <row r="15" ht="14" customHeight="1" s="549">
      <c r="A15" s="757" t="inlineStr">
        <is>
          <t>2.2</t>
        </is>
      </c>
      <c r="B15" s="757" t="inlineStr">
        <is>
          <t>23</t>
        </is>
      </c>
      <c r="C15" s="757" t="inlineStr">
        <is>
          <t>b.2</t>
        </is>
      </c>
      <c r="D15" s="693" t="inlineStr">
        <is>
          <t>Materiales de instalación — 60 kits</t>
        </is>
      </c>
      <c r="E15" s="757" t="inlineStr">
        <is>
          <t>Factura/Boleta</t>
        </is>
      </c>
      <c r="F15" s="757" t="inlineStr">
        <is>
          <t>Ferretería/Dist.</t>
        </is>
      </c>
      <c r="G15" s="693" t="inlineStr">
        <is>
          <t>Materiales eléctricos y civiles instalación FV · 60 kits</t>
        </is>
      </c>
      <c r="H15" s="870">
        <f>Supuestos!I22</f>
        <v/>
      </c>
      <c r="I15" s="870">
        <f>Supuestos!J22</f>
        <v/>
      </c>
      <c r="J15" s="870">
        <f>Supuestos!K22</f>
        <v/>
      </c>
      <c r="K15" s="757" t="inlineStr">
        <is>
          <t>NO</t>
        </is>
      </c>
      <c r="L15" s="870" t="n">
        <v>0</v>
      </c>
      <c r="M15" s="757" t="inlineStr">
        <is>
          <t>Pendiente</t>
        </is>
      </c>
      <c r="N15" s="693" t="inlineStr">
        <is>
          <t>Boletas + Facturas desagregadas · max 3 UTM boleta</t>
        </is>
      </c>
    </row>
    <row r="16" ht="14" customHeight="1" s="549">
      <c r="A16" s="730" t="inlineStr">
        <is>
          <t>2.3</t>
        </is>
      </c>
      <c r="B16" s="730" t="inlineStr">
        <is>
          <t>23</t>
        </is>
      </c>
      <c r="C16" s="730" t="inlineStr">
        <is>
          <t>b.2</t>
        </is>
      </c>
      <c r="D16" s="694" t="inlineStr">
        <is>
          <t>Herramientas (3 cuadrillas)</t>
        </is>
      </c>
      <c r="E16" s="730" t="inlineStr">
        <is>
          <t>Factura/Boleta</t>
        </is>
      </c>
      <c r="F16" s="730" t="inlineStr">
        <is>
          <t>Ferreterías</t>
        </is>
      </c>
      <c r="G16" s="694" t="inlineStr">
        <is>
          <t>Herramientas trabajo instalación · 3 cuadrillas · activo empresa</t>
        </is>
      </c>
      <c r="H16" s="869">
        <f>Supuestos!I23</f>
        <v/>
      </c>
      <c r="I16" s="869">
        <f>Supuestos!J23</f>
        <v/>
      </c>
      <c r="J16" s="869">
        <f>Supuestos!K23</f>
        <v/>
      </c>
      <c r="K16" s="730" t="inlineStr">
        <is>
          <t>NO</t>
        </is>
      </c>
      <c r="L16" s="869" t="n">
        <v>0</v>
      </c>
      <c r="M16" s="730" t="inlineStr">
        <is>
          <t>Pendiente</t>
        </is>
      </c>
      <c r="N16" s="694" t="inlineStr">
        <is>
          <t>Factura + Inventario activos empresa ejecutora</t>
        </is>
      </c>
    </row>
    <row r="17" ht="14" customHeight="1" s="549">
      <c r="A17" s="749" t="inlineStr">
        <is>
          <t xml:space="preserve">  24</t>
        </is>
      </c>
      <c r="B17" s="686" t="n"/>
      <c r="C17" s="686" t="n"/>
      <c r="D17" s="749" t="inlineStr">
        <is>
          <t>PERSONAL Y SERVICIOS</t>
        </is>
      </c>
      <c r="E17" s="686" t="n"/>
      <c r="F17" s="686" t="n"/>
      <c r="G17" s="686" t="n"/>
      <c r="H17" s="870">
        <f>Supuestos!I24</f>
        <v/>
      </c>
      <c r="I17" s="870">
        <f>Supuestos!J24</f>
        <v/>
      </c>
      <c r="J17" s="870">
        <f>Supuestos!K24</f>
        <v/>
      </c>
      <c r="K17" s="757" t="inlineStr">
        <is>
          <t>NO</t>
        </is>
      </c>
      <c r="L17" s="870" t="n">
        <v>0</v>
      </c>
      <c r="M17" s="686" t="n"/>
      <c r="N17" s="686" t="n"/>
    </row>
    <row r="18" ht="14" customHeight="1" s="549">
      <c r="A18" s="730" t="inlineStr">
        <is>
          <t>3.1</t>
        </is>
      </c>
      <c r="B18" s="730" t="inlineStr">
        <is>
          <t>24</t>
        </is>
      </c>
      <c r="C18" s="730" t="inlineStr">
        <is>
          <t>b.4</t>
        </is>
      </c>
      <c r="D18" s="694" t="inlineStr">
        <is>
          <t>Planilla personal (cuadrillas instalación)</t>
        </is>
      </c>
      <c r="E18" s="730" t="inlineStr">
        <is>
          <t>Costo Empresa</t>
        </is>
      </c>
      <c r="F18" s="730" t="inlineStr">
        <is>
          <t>Ejecutora</t>
        </is>
      </c>
      <c r="G18" s="694" t="inlineStr">
        <is>
          <t>Remuneraciones personal instalación FV · proporción proyecto</t>
        </is>
      </c>
      <c r="H18" s="869">
        <f>Supuestos!I25</f>
        <v/>
      </c>
      <c r="I18" s="869">
        <f>Supuestos!J25</f>
        <v/>
      </c>
      <c r="J18" s="869">
        <f>Supuestos!K25</f>
        <v/>
      </c>
      <c r="K18" s="730" t="inlineStr">
        <is>
          <t>NO</t>
        </is>
      </c>
      <c r="L18" s="869" t="n">
        <v>0</v>
      </c>
      <c r="M18" s="730" t="inlineStr">
        <is>
          <t>Pendiente</t>
        </is>
      </c>
      <c r="N18" s="694" t="inlineStr">
        <is>
          <t>Liquidaciones + Comprobante pago previsión + Libro remuneraciones</t>
        </is>
      </c>
    </row>
    <row r="19" ht="14" customHeight="1" s="549">
      <c r="A19" s="749" t="inlineStr">
        <is>
          <t xml:space="preserve">  25.6</t>
        </is>
      </c>
      <c r="B19" s="686" t="n"/>
      <c r="C19" s="686" t="n"/>
      <c r="D19" s="749" t="inlineStr">
        <is>
          <t>SERVICIOS PROFESIONALES</t>
        </is>
      </c>
      <c r="E19" s="686" t="n"/>
      <c r="F19" s="686" t="n"/>
      <c r="G19" s="686" t="n"/>
      <c r="H19" s="870">
        <f>Supuestos!I27</f>
        <v/>
      </c>
      <c r="I19" s="870">
        <f>Supuestos!J27</f>
        <v/>
      </c>
      <c r="J19" s="870">
        <f>Supuestos!K27</f>
        <v/>
      </c>
      <c r="K19" s="757" t="inlineStr">
        <is>
          <t>NO</t>
        </is>
      </c>
      <c r="L19" s="870" t="n">
        <v>0</v>
      </c>
      <c r="M19" s="686" t="n"/>
      <c r="N19" s="686" t="n"/>
    </row>
    <row r="20" ht="14" customHeight="1" s="549">
      <c r="A20" s="730" t="inlineStr">
        <is>
          <t>4.1</t>
        </is>
      </c>
      <c r="B20" s="730" t="inlineStr">
        <is>
          <t>25.6</t>
        </is>
      </c>
      <c r="C20" s="730" t="inlineStr">
        <is>
          <t>b.4</t>
        </is>
      </c>
      <c r="D20" s="694" t="inlineStr">
        <is>
          <t>Encargado logística y bodega</t>
        </is>
      </c>
      <c r="E20" s="730" t="inlineStr">
        <is>
          <t>Boleta Honor.</t>
        </is>
      </c>
      <c r="F20" s="730" t="inlineStr">
        <is>
          <t>Persona natural</t>
        </is>
      </c>
      <c r="G20" s="694" t="inlineStr">
        <is>
          <t>Servicio honorarios logística y bodega proyecto · 1 persona</t>
        </is>
      </c>
      <c r="H20" s="869">
        <f>Supuestos!I28</f>
        <v/>
      </c>
      <c r="I20" s="869">
        <f>Supuestos!J28</f>
        <v/>
      </c>
      <c r="J20" s="869">
        <f>Supuestos!K28</f>
        <v/>
      </c>
      <c r="K20" s="730" t="inlineStr">
        <is>
          <t>NO</t>
        </is>
      </c>
      <c r="L20" s="869" t="n">
        <v>0</v>
      </c>
      <c r="M20" s="730" t="inlineStr">
        <is>
          <t>Pendiente</t>
        </is>
      </c>
      <c r="N20" s="694" t="inlineStr">
        <is>
          <t>Boleta honorarios + Retención 10.75% + Comprobante pago</t>
        </is>
      </c>
    </row>
    <row r="21" ht="14" customHeight="1" s="549">
      <c r="A21" s="757" t="inlineStr">
        <is>
          <t>4.2</t>
        </is>
      </c>
      <c r="B21" s="757" t="inlineStr">
        <is>
          <t>25.6</t>
        </is>
      </c>
      <c r="C21" s="757" t="inlineStr">
        <is>
          <t>b.4</t>
        </is>
      </c>
      <c r="D21" s="693" t="inlineStr">
        <is>
          <t>Técnico instalación (Plan A — pago por instalación)</t>
        </is>
      </c>
      <c r="E21" s="757" t="inlineStr">
        <is>
          <t>Boleta Honor.</t>
        </is>
      </c>
      <c r="F21" s="757" t="inlineStr">
        <is>
          <t>Técnicos</t>
        </is>
      </c>
      <c r="G21" s="693" t="inlineStr">
        <is>
          <t>Honorarios técnicos instalación FV · modalidad pago por instalación</t>
        </is>
      </c>
      <c r="H21" s="870">
        <f>Supuestos!I29</f>
        <v/>
      </c>
      <c r="I21" s="870">
        <f>Supuestos!J29</f>
        <v/>
      </c>
      <c r="J21" s="870">
        <f>Supuestos!K29</f>
        <v/>
      </c>
      <c r="K21" s="757" t="inlineStr">
        <is>
          <t>NO</t>
        </is>
      </c>
      <c r="L21" s="870" t="n">
        <v>0</v>
      </c>
      <c r="M21" s="757" t="inlineStr">
        <is>
          <t>Pendiente</t>
        </is>
      </c>
      <c r="N21" s="693" t="inlineStr">
        <is>
          <t>Boleta honorarios por instalación certificada + Protocolo TE-1</t>
        </is>
      </c>
    </row>
    <row r="22" ht="14" customHeight="1" s="549">
      <c r="A22" s="730" t="inlineStr">
        <is>
          <t>4.5</t>
        </is>
      </c>
      <c r="B22" s="730" t="inlineStr">
        <is>
          <t>25.6</t>
        </is>
      </c>
      <c r="C22" s="730" t="inlineStr">
        <is>
          <t>b.4</t>
        </is>
      </c>
      <c r="D22" s="694" t="inlineStr">
        <is>
          <t>Apoyo elaboración planos TE-1 (SEC)</t>
        </is>
      </c>
      <c r="E22" s="730" t="inlineStr">
        <is>
          <t>Boleta Honor.</t>
        </is>
      </c>
      <c r="F22" s="730" t="inlineStr">
        <is>
          <t>Ing. Eléctrico</t>
        </is>
      </c>
      <c r="G22" s="694" t="inlineStr">
        <is>
          <t>Honorarios elaboración declaraciones instalación eléctrica TE-1 · 60 instalaciones</t>
        </is>
      </c>
      <c r="H22" s="869">
        <f>Supuestos!I32</f>
        <v/>
      </c>
      <c r="I22" s="869">
        <f>Supuestos!J32</f>
        <v/>
      </c>
      <c r="J22" s="869">
        <f>Supuestos!K32</f>
        <v/>
      </c>
      <c r="K22" s="730" t="inlineStr">
        <is>
          <t>NO</t>
        </is>
      </c>
      <c r="L22" s="869" t="n">
        <v>0</v>
      </c>
      <c r="M22" s="730" t="inlineStr">
        <is>
          <t>Pendiente</t>
        </is>
      </c>
      <c r="N22" s="694" t="inlineStr">
        <is>
          <t>Boleta honorarios + Declaración TE-1 SEC por instalación</t>
        </is>
      </c>
    </row>
    <row r="23" ht="14" customHeight="1" s="549">
      <c r="A23" s="749" t="inlineStr">
        <is>
          <t xml:space="preserve">  25.1</t>
        </is>
      </c>
      <c r="B23" s="686" t="n"/>
      <c r="C23" s="686" t="n"/>
      <c r="D23" s="749" t="inlineStr">
        <is>
          <t>ALQUILERES — RRCC</t>
        </is>
      </c>
      <c r="E23" s="686" t="n"/>
      <c r="F23" s="686" t="n"/>
      <c r="G23" s="686" t="n"/>
      <c r="H23" s="870">
        <f>Supuestos!I34</f>
        <v/>
      </c>
      <c r="I23" s="870">
        <f>Supuestos!J34</f>
        <v/>
      </c>
      <c r="J23" s="870">
        <f>Supuestos!K34</f>
        <v/>
      </c>
      <c r="K23" s="757" t="inlineStr">
        <is>
          <t>NO</t>
        </is>
      </c>
      <c r="L23" s="870" t="n">
        <v>0</v>
      </c>
      <c r="M23" s="686" t="n"/>
      <c r="N23" s="686" t="n"/>
    </row>
    <row r="24" ht="14" customHeight="1" s="549">
      <c r="A24" s="730" t="inlineStr">
        <is>
          <t>5.1</t>
        </is>
      </c>
      <c r="B24" s="730" t="inlineStr">
        <is>
          <t>25.1</t>
        </is>
      </c>
      <c r="C24" s="730" t="inlineStr">
        <is>
          <t>b.3</t>
        </is>
      </c>
      <c r="D24" s="694" t="inlineStr">
        <is>
          <t>Arriendo vehículo diario (relaciones comunitarias)</t>
        </is>
      </c>
      <c r="E24" s="730" t="inlineStr">
        <is>
          <t>Factura</t>
        </is>
      </c>
      <c r="F24" s="730" t="inlineStr">
        <is>
          <t>Rent a Car</t>
        </is>
      </c>
      <c r="G24" s="694" t="inlineStr">
        <is>
          <t>Arriendo vehículo liviano RRCC · tarifa diaria · proyecto Coquimbo</t>
        </is>
      </c>
      <c r="H24" s="869">
        <f>Supuestos!I35</f>
        <v/>
      </c>
      <c r="I24" s="869">
        <f>Supuestos!J35</f>
        <v/>
      </c>
      <c r="J24" s="869">
        <f>Supuestos!K35</f>
        <v/>
      </c>
      <c r="K24" s="730" t="inlineStr">
        <is>
          <t>NO</t>
        </is>
      </c>
      <c r="L24" s="869" t="n">
        <v>0</v>
      </c>
      <c r="M24" s="730" t="inlineStr">
        <is>
          <t>Pendiente</t>
        </is>
      </c>
      <c r="N24" s="694" t="inlineStr">
        <is>
          <t>Factura arrendadora + Contrato arriendo + Bitácora uso</t>
        </is>
      </c>
    </row>
    <row r="25" ht="14" customHeight="1" s="549">
      <c r="A25" s="749" t="inlineStr">
        <is>
          <t xml:space="preserve">  25.1/25.3</t>
        </is>
      </c>
      <c r="B25" s="686" t="n"/>
      <c r="C25" s="686" t="n"/>
      <c r="D25" s="749" t="inlineStr">
        <is>
          <t>ALQUILERES — GESTIÓN TÉCNICA</t>
        </is>
      </c>
      <c r="E25" s="686" t="n"/>
      <c r="F25" s="686" t="n"/>
      <c r="G25" s="686" t="n"/>
      <c r="H25" s="870">
        <f>Supuestos!I38</f>
        <v/>
      </c>
      <c r="I25" s="870">
        <f>Supuestos!J38</f>
        <v/>
      </c>
      <c r="J25" s="870">
        <f>Supuestos!K38</f>
        <v/>
      </c>
      <c r="K25" s="757" t="inlineStr">
        <is>
          <t>NO</t>
        </is>
      </c>
      <c r="L25" s="870" t="n">
        <v>0</v>
      </c>
      <c r="M25" s="686" t="n"/>
      <c r="N25" s="686" t="n"/>
    </row>
    <row r="26" ht="14" customHeight="1" s="549">
      <c r="A26" s="730" t="inlineStr">
        <is>
          <t>6.1</t>
        </is>
      </c>
      <c r="B26" s="730" t="inlineStr">
        <is>
          <t>25.3</t>
        </is>
      </c>
      <c r="C26" s="730" t="inlineStr">
        <is>
          <t>b.3</t>
        </is>
      </c>
      <c r="D26" s="694" t="inlineStr">
        <is>
          <t>Bodega terreno (almacenamiento equipos)</t>
        </is>
      </c>
      <c r="E26" s="730" t="inlineStr">
        <is>
          <t>Factura</t>
        </is>
      </c>
      <c r="F26" s="730" t="inlineStr">
        <is>
          <t>Propietario</t>
        </is>
      </c>
      <c r="G26" s="694" t="inlineStr">
        <is>
          <t>Arriendo bodega almacenamiento equipos FV · Coquimbo</t>
        </is>
      </c>
      <c r="H26" s="869">
        <f>Supuestos!I39</f>
        <v/>
      </c>
      <c r="I26" s="869">
        <f>Supuestos!J39</f>
        <v/>
      </c>
      <c r="J26" s="869">
        <f>Supuestos!K39</f>
        <v/>
      </c>
      <c r="K26" s="730" t="inlineStr">
        <is>
          <t>NO</t>
        </is>
      </c>
      <c r="L26" s="869" t="n">
        <v>0</v>
      </c>
      <c r="M26" s="730" t="inlineStr">
        <is>
          <t>Pendiente</t>
        </is>
      </c>
      <c r="N26" s="694" t="inlineStr">
        <is>
          <t>Contrato arriendo + Factura mensual + Plano bodega</t>
        </is>
      </c>
    </row>
    <row r="27" ht="14" customHeight="1" s="549">
      <c r="A27" s="757" t="inlineStr">
        <is>
          <t>6.2</t>
        </is>
      </c>
      <c r="B27" s="757" t="inlineStr">
        <is>
          <t>25.1</t>
        </is>
      </c>
      <c r="C27" s="757" t="inlineStr">
        <is>
          <t>b.3</t>
        </is>
      </c>
      <c r="D27" s="693" t="inlineStr">
        <is>
          <t>Arriendo vehículo diario — área técnica</t>
        </is>
      </c>
      <c r="E27" s="757" t="inlineStr">
        <is>
          <t>Factura</t>
        </is>
      </c>
      <c r="F27" s="757" t="inlineStr">
        <is>
          <t>Rent a Car</t>
        </is>
      </c>
      <c r="G27" s="693" t="inlineStr">
        <is>
          <t>Arriendo vehículo liviano gestión técnica instalaciones · tarifa diaria</t>
        </is>
      </c>
      <c r="H27" s="870">
        <f>Supuestos!I40</f>
        <v/>
      </c>
      <c r="I27" s="870">
        <f>Supuestos!J40</f>
        <v/>
      </c>
      <c r="J27" s="870">
        <f>Supuestos!K40</f>
        <v/>
      </c>
      <c r="K27" s="757" t="inlineStr">
        <is>
          <t>NO</t>
        </is>
      </c>
      <c r="L27" s="870" t="n">
        <v>0</v>
      </c>
      <c r="M27" s="757" t="inlineStr">
        <is>
          <t>Pendiente</t>
        </is>
      </c>
      <c r="N27" s="693" t="inlineStr">
        <is>
          <t>Factura arrendadora + Bitácora uso vehículo</t>
        </is>
      </c>
    </row>
    <row r="28" ht="14" customHeight="1" s="549">
      <c r="A28" s="729" t="inlineStr">
        <is>
          <t xml:space="preserve">  25.7</t>
        </is>
      </c>
      <c r="B28" s="681" t="n"/>
      <c r="C28" s="681" t="n"/>
      <c r="D28" s="729" t="inlineStr">
        <is>
          <t>TRANSPORTE DE EQUIPOS ✓ GORE</t>
        </is>
      </c>
      <c r="E28" s="681" t="n"/>
      <c r="F28" s="681" t="n"/>
      <c r="G28" s="681" t="n"/>
      <c r="H28" s="869">
        <f>Supuestos!I44</f>
        <v/>
      </c>
      <c r="I28" s="869">
        <f>Supuestos!J44</f>
        <v/>
      </c>
      <c r="J28" s="869">
        <f>Supuestos!K44</f>
        <v/>
      </c>
      <c r="K28" s="730" t="inlineStr">
        <is>
          <t>SÍ</t>
        </is>
      </c>
      <c r="L28" s="869">
        <f>J35</f>
        <v/>
      </c>
      <c r="M28" s="681" t="n"/>
      <c r="N28" s="681" t="n"/>
    </row>
    <row r="29" ht="14" customHeight="1" s="549">
      <c r="A29" s="757" t="inlineStr">
        <is>
          <t>7.2</t>
        </is>
      </c>
      <c r="B29" s="757" t="inlineStr">
        <is>
          <t>25.7</t>
        </is>
      </c>
      <c r="C29" s="757" t="inlineStr">
        <is>
          <t>b.7</t>
        </is>
      </c>
      <c r="D29" s="693" t="inlineStr">
        <is>
          <t>Transporte desconsolidado (furgón)</t>
        </is>
      </c>
      <c r="E29" s="757" t="inlineStr">
        <is>
          <t>Factura</t>
        </is>
      </c>
      <c r="F29" s="757" t="inlineStr">
        <is>
          <t>Transportista</t>
        </is>
      </c>
      <c r="G29" s="693" t="inlineStr">
        <is>
          <t>Traslado equipos FV desconsolidado región Coquimbo</t>
        </is>
      </c>
      <c r="H29" s="870">
        <f>Supuestos!I16</f>
        <v/>
      </c>
      <c r="I29" s="870">
        <f>Supuestos!J16</f>
        <v/>
      </c>
      <c r="J29" s="870">
        <f>Supuestos!K16</f>
        <v/>
      </c>
      <c r="K29" s="757" t="inlineStr">
        <is>
          <t>SÍ</t>
        </is>
      </c>
      <c r="L29" s="870">
        <f>J37</f>
        <v/>
      </c>
      <c r="M29" s="757" t="inlineStr">
        <is>
          <t>Pendiente</t>
        </is>
      </c>
      <c r="N29" s="693" t="inlineStr">
        <is>
          <t>Factura + Guía despacho + Fotografías carga/descarga</t>
        </is>
      </c>
    </row>
    <row r="30" ht="14" customHeight="1" s="549">
      <c r="A30" s="730" t="inlineStr">
        <is>
          <t>7.3</t>
        </is>
      </c>
      <c r="B30" s="730" t="inlineStr">
        <is>
          <t>25.7</t>
        </is>
      </c>
      <c r="C30" s="730" t="inlineStr">
        <is>
          <t>b.7</t>
        </is>
      </c>
      <c r="D30" s="694" t="inlineStr">
        <is>
          <t>Traslado contenedor (ida y vuelta)</t>
        </is>
      </c>
      <c r="E30" s="730" t="inlineStr">
        <is>
          <t>Factura</t>
        </is>
      </c>
      <c r="F30" s="730" t="inlineStr">
        <is>
          <t>Transportista</t>
        </is>
      </c>
      <c r="G30" s="694" t="inlineStr">
        <is>
          <t>Traslado contenedor equipos FV · ida y vuelta</t>
        </is>
      </c>
      <c r="H30" s="869">
        <f>Supuestos!I47</f>
        <v/>
      </c>
      <c r="I30" s="869">
        <f>Supuestos!J47</f>
        <v/>
      </c>
      <c r="J30" s="869">
        <f>Supuestos!K47</f>
        <v/>
      </c>
      <c r="K30" s="730" t="inlineStr">
        <is>
          <t>SÍ</t>
        </is>
      </c>
      <c r="L30" s="869">
        <f>J38</f>
        <v/>
      </c>
      <c r="M30" s="730" t="inlineStr">
        <is>
          <t>Pendiente</t>
        </is>
      </c>
      <c r="N30" s="694" t="inlineStr">
        <is>
          <t>Factura + Guía despacho + Comprobante pago portuario</t>
        </is>
      </c>
    </row>
    <row r="31" ht="14" customHeight="1" s="549">
      <c r="A31" s="757" t="inlineStr">
        <is>
          <t>7.4</t>
        </is>
      </c>
      <c r="B31" s="757" t="inlineStr">
        <is>
          <t>25.7</t>
        </is>
      </c>
      <c r="C31" s="757" t="inlineStr">
        <is>
          <t>b.7</t>
        </is>
      </c>
      <c r="D31" s="693" t="inlineStr">
        <is>
          <t>Camión transporte origen-destino (rampla abierta)</t>
        </is>
      </c>
      <c r="E31" s="757" t="inlineStr">
        <is>
          <t>Factura</t>
        </is>
      </c>
      <c r="F31" s="757" t="inlineStr">
        <is>
          <t>Transportista</t>
        </is>
      </c>
      <c r="G31" s="693" t="inlineStr">
        <is>
          <t>Flete rampla abierta origen-destino equipos FV</t>
        </is>
      </c>
      <c r="H31" s="870">
        <f>Supuestos!I48</f>
        <v/>
      </c>
      <c r="I31" s="870">
        <f>Supuestos!J48</f>
        <v/>
      </c>
      <c r="J31" s="870">
        <f>Supuestos!K48</f>
        <v/>
      </c>
      <c r="K31" s="757" t="inlineStr">
        <is>
          <t>SÍ</t>
        </is>
      </c>
      <c r="L31" s="870">
        <f>J39</f>
        <v/>
      </c>
      <c r="M31" s="757" t="inlineStr">
        <is>
          <t>Pendiente</t>
        </is>
      </c>
      <c r="N31" s="693" t="inlineStr">
        <is>
          <t>Factura + Guía despacho + Fotografías</t>
        </is>
      </c>
    </row>
    <row r="32" ht="14" customHeight="1" s="549">
      <c r="A32" s="730" t="inlineStr">
        <is>
          <t>7.5</t>
        </is>
      </c>
      <c r="B32" s="730" t="inlineStr">
        <is>
          <t>25.7</t>
        </is>
      </c>
      <c r="C32" s="730" t="inlineStr">
        <is>
          <t>b.7</t>
        </is>
      </c>
      <c r="D32" s="694" t="inlineStr">
        <is>
          <t>Grúa en origen</t>
        </is>
      </c>
      <c r="E32" s="730" t="inlineStr">
        <is>
          <t>Factura</t>
        </is>
      </c>
      <c r="F32" s="730" t="inlineStr">
        <is>
          <t>Empresa grúas</t>
        </is>
      </c>
      <c r="G32" s="694" t="inlineStr">
        <is>
          <t>Servicio grúa carga contenedor en origen</t>
        </is>
      </c>
      <c r="H32" s="869">
        <f>Supuestos!I17</f>
        <v/>
      </c>
      <c r="I32" s="869">
        <f>Supuestos!J17</f>
        <v/>
      </c>
      <c r="J32" s="869">
        <f>Supuestos!K17</f>
        <v/>
      </c>
      <c r="K32" s="730" t="inlineStr">
        <is>
          <t>SÍ</t>
        </is>
      </c>
      <c r="L32" s="869">
        <f>J40</f>
        <v/>
      </c>
      <c r="M32" s="730" t="inlineStr">
        <is>
          <t>Pendiente</t>
        </is>
      </c>
      <c r="N32" s="694" t="inlineStr">
        <is>
          <t>Factura grúas + Fotografías operación</t>
        </is>
      </c>
    </row>
    <row r="33" ht="14" customHeight="1" s="549">
      <c r="A33" s="757" t="inlineStr">
        <is>
          <t>7.6</t>
        </is>
      </c>
      <c r="B33" s="757" t="inlineStr">
        <is>
          <t>25.7</t>
        </is>
      </c>
      <c r="C33" s="757" t="inlineStr">
        <is>
          <t>b.7</t>
        </is>
      </c>
      <c r="D33" s="693" t="inlineStr">
        <is>
          <t>Grúa en punto destino (6 horas)</t>
        </is>
      </c>
      <c r="E33" s="757" t="inlineStr">
        <is>
          <t>Factura</t>
        </is>
      </c>
      <c r="F33" s="757" t="inlineStr">
        <is>
          <t>Empresa grúas</t>
        </is>
      </c>
      <c r="G33" s="693" t="inlineStr">
        <is>
          <t>Servicio grúa descarga contenedor en destino Coquimbo</t>
        </is>
      </c>
      <c r="H33" s="870">
        <f>Supuestos!I18</f>
        <v/>
      </c>
      <c r="I33" s="870">
        <f>Supuestos!J18</f>
        <v/>
      </c>
      <c r="J33" s="870">
        <f>Supuestos!K18</f>
        <v/>
      </c>
      <c r="K33" s="757" t="inlineStr">
        <is>
          <t>SÍ</t>
        </is>
      </c>
      <c r="L33" s="870">
        <f>J41</f>
        <v/>
      </c>
      <c r="M33" s="757" t="inlineStr">
        <is>
          <t>Pendiente</t>
        </is>
      </c>
      <c r="N33" s="693" t="inlineStr">
        <is>
          <t>Factura grúas + Fotografías descarga</t>
        </is>
      </c>
    </row>
    <row r="34" ht="14" customHeight="1" s="549">
      <c r="A34" s="729" t="inlineStr">
        <is>
          <t xml:space="preserve">  25.11/25.13</t>
        </is>
      </c>
      <c r="B34" s="681" t="n"/>
      <c r="C34" s="681" t="n"/>
      <c r="D34" s="729" t="inlineStr">
        <is>
          <t>VIAJES — RRCC</t>
        </is>
      </c>
      <c r="E34" s="681" t="n"/>
      <c r="F34" s="681" t="n"/>
      <c r="G34" s="681" t="n"/>
      <c r="H34" s="869">
        <f>Supuestos!I52</f>
        <v/>
      </c>
      <c r="I34" s="869">
        <f>Supuestos!J52</f>
        <v/>
      </c>
      <c r="J34" s="869">
        <f>Supuestos!K52</f>
        <v/>
      </c>
      <c r="K34" s="730" t="inlineStr">
        <is>
          <t>NO</t>
        </is>
      </c>
      <c r="L34" s="869" t="n">
        <v>0</v>
      </c>
      <c r="M34" s="681" t="n"/>
      <c r="N34" s="681" t="n"/>
    </row>
    <row r="35" ht="14" customHeight="1" s="549">
      <c r="A35" s="757" t="inlineStr">
        <is>
          <t>8.1-8.6</t>
        </is>
      </c>
      <c r="B35" s="757" t="inlineStr">
        <is>
          <t>25.13</t>
        </is>
      </c>
      <c r="C35" s="757" t="inlineStr">
        <is>
          <t>b.5</t>
        </is>
      </c>
      <c r="D35" s="693" t="inlineStr">
        <is>
          <t>Traslados, alojamiento, alimentación, combustible, peajes RRCC</t>
        </is>
      </c>
      <c r="E35" s="757" t="inlineStr">
        <is>
          <t>Fact/Boleta</t>
        </is>
      </c>
      <c r="F35" s="757" t="inlineStr">
        <is>
          <t>Varios</t>
        </is>
      </c>
      <c r="G35" s="693" t="inlineStr">
        <is>
          <t>Gastos desplazamiento equipo RRCC · región Coquimbo</t>
        </is>
      </c>
      <c r="H35" s="870">
        <f>Supuestos!I52</f>
        <v/>
      </c>
      <c r="I35" s="870">
        <f>Supuestos!J52</f>
        <v/>
      </c>
      <c r="J35" s="870">
        <f>Supuestos!K52</f>
        <v/>
      </c>
      <c r="K35" s="757" t="inlineStr">
        <is>
          <t>NO</t>
        </is>
      </c>
      <c r="L35" s="870" t="n">
        <v>0</v>
      </c>
      <c r="M35" s="757" t="inlineStr">
        <is>
          <t>Pendiente</t>
        </is>
      </c>
      <c r="N35" s="693" t="inlineStr">
        <is>
          <t>Pasajes + Facturas alojamiento + Boletas bencina + Boletas peaje</t>
        </is>
      </c>
    </row>
    <row r="36" ht="14" customHeight="1" s="549">
      <c r="A36" s="729" t="inlineStr">
        <is>
          <t xml:space="preserve">  25.11/25.13</t>
        </is>
      </c>
      <c r="B36" s="681" t="n"/>
      <c r="C36" s="681" t="n"/>
      <c r="D36" s="729" t="inlineStr">
        <is>
          <t>VIAJES — GESTIÓN TÉCNICA</t>
        </is>
      </c>
      <c r="E36" s="681" t="n"/>
      <c r="F36" s="681" t="n"/>
      <c r="G36" s="681" t="n"/>
      <c r="H36" s="869">
        <f>Supuestos!I59</f>
        <v/>
      </c>
      <c r="I36" s="869">
        <f>Supuestos!J59</f>
        <v/>
      </c>
      <c r="J36" s="869">
        <f>Supuestos!K59</f>
        <v/>
      </c>
      <c r="K36" s="730" t="inlineStr">
        <is>
          <t>NO</t>
        </is>
      </c>
      <c r="L36" s="869" t="n">
        <v>0</v>
      </c>
      <c r="M36" s="681" t="n"/>
      <c r="N36" s="681" t="n"/>
    </row>
    <row r="37" ht="14" customHeight="1" s="549">
      <c r="A37" s="757" t="inlineStr">
        <is>
          <t>9.1-9.6</t>
        </is>
      </c>
      <c r="B37" s="757" t="inlineStr">
        <is>
          <t>25.13</t>
        </is>
      </c>
      <c r="C37" s="757" t="inlineStr">
        <is>
          <t>b.5</t>
        </is>
      </c>
      <c r="D37" s="693" t="inlineStr">
        <is>
          <t>Traslados, alojamiento, alimentación, combustible, peajes GT</t>
        </is>
      </c>
      <c r="E37" s="757" t="inlineStr">
        <is>
          <t>Fact/Boleta</t>
        </is>
      </c>
      <c r="F37" s="757" t="inlineStr">
        <is>
          <t>Varios</t>
        </is>
      </c>
      <c r="G37" s="693" t="inlineStr">
        <is>
          <t>Gastos desplazamiento equipo técnico · región Coquimbo</t>
        </is>
      </c>
      <c r="H37" s="870">
        <f>Supuestos!I59</f>
        <v/>
      </c>
      <c r="I37" s="870">
        <f>Supuestos!J59</f>
        <v/>
      </c>
      <c r="J37" s="870">
        <f>Supuestos!K59</f>
        <v/>
      </c>
      <c r="K37" s="757" t="inlineStr">
        <is>
          <t>NO</t>
        </is>
      </c>
      <c r="L37" s="870" t="n">
        <v>0</v>
      </c>
      <c r="M37" s="757" t="inlineStr">
        <is>
          <t>Pendiente</t>
        </is>
      </c>
      <c r="N37" s="693" t="inlineStr">
        <is>
          <t>Pasajes + Facturas alojamiento + Boletas bencina + Boletas peaje</t>
        </is>
      </c>
    </row>
    <row r="38" ht="14" customHeight="1" s="549">
      <c r="A38" s="729" t="inlineStr">
        <is>
          <t xml:space="preserve">  25.14</t>
        </is>
      </c>
      <c r="B38" s="681" t="n"/>
      <c r="C38" s="681" t="n"/>
      <c r="D38" s="729" t="inlineStr">
        <is>
          <t>GASTOS VARIOS</t>
        </is>
      </c>
      <c r="E38" s="681" t="n"/>
      <c r="F38" s="681" t="n"/>
      <c r="G38" s="681" t="n"/>
      <c r="H38" s="869">
        <f>Supuestos!I65</f>
        <v/>
      </c>
      <c r="I38" s="869">
        <f>Supuestos!J65</f>
        <v/>
      </c>
      <c r="J38" s="869">
        <f>Supuestos!K65</f>
        <v/>
      </c>
      <c r="K38" s="730" t="inlineStr">
        <is>
          <t>NO</t>
        </is>
      </c>
      <c r="L38" s="869" t="n">
        <v>0</v>
      </c>
      <c r="M38" s="681" t="n"/>
      <c r="N38" s="681" t="n"/>
    </row>
    <row r="39" ht="14" customHeight="1" s="549">
      <c r="A39" s="757" t="inlineStr">
        <is>
          <t>10.2</t>
        </is>
      </c>
      <c r="B39" s="757" t="inlineStr">
        <is>
          <t>25.7</t>
        </is>
      </c>
      <c r="C39" s="757" t="inlineStr">
        <is>
          <t>b.6</t>
        </is>
      </c>
      <c r="D39" s="693" t="inlineStr">
        <is>
          <t>Mensajería (Correo de Chile)</t>
        </is>
      </c>
      <c r="E39" s="757" t="inlineStr">
        <is>
          <t>Boleta</t>
        </is>
      </c>
      <c r="F39" s="757" t="inlineStr">
        <is>
          <t>Correo de Chile</t>
        </is>
      </c>
      <c r="G39" s="693" t="inlineStr">
        <is>
          <t>Envío documentación proyecto vía mensajería</t>
        </is>
      </c>
      <c r="H39" s="870">
        <f>Supuestos!I66</f>
        <v/>
      </c>
      <c r="I39" s="870">
        <f>Supuestos!J66</f>
        <v/>
      </c>
      <c r="J39" s="870">
        <f>Supuestos!K66</f>
        <v/>
      </c>
      <c r="K39" s="757" t="inlineStr">
        <is>
          <t>NO</t>
        </is>
      </c>
      <c r="L39" s="870" t="n">
        <v>0</v>
      </c>
      <c r="M39" s="757" t="inlineStr">
        <is>
          <t>Pendiente</t>
        </is>
      </c>
      <c r="N39" s="693" t="inlineStr">
        <is>
          <t>Boleta servicio mensajería + comprobante envío</t>
        </is>
      </c>
    </row>
    <row r="40" ht="14" customHeight="1" s="549">
      <c r="A40" s="730" t="inlineStr">
        <is>
          <t>10.3</t>
        </is>
      </c>
      <c r="B40" s="730" t="inlineStr">
        <is>
          <t>25.14</t>
        </is>
      </c>
      <c r="C40" s="730" t="inlineStr">
        <is>
          <t>b.6</t>
        </is>
      </c>
      <c r="D40" s="694" t="inlineStr">
        <is>
          <t>Impresión de manuales (60 kits)</t>
        </is>
      </c>
      <c r="E40" s="730" t="inlineStr">
        <is>
          <t>Fact/Boleta</t>
        </is>
      </c>
      <c r="F40" s="730" t="inlineStr">
        <is>
          <t>Imprenta</t>
        </is>
      </c>
      <c r="G40" s="694" t="inlineStr">
        <is>
          <t>Impresión manuales usuario sistema FV · 60 unidades</t>
        </is>
      </c>
      <c r="H40" s="869">
        <f>Supuestos!I67</f>
        <v/>
      </c>
      <c r="I40" s="869">
        <f>Supuestos!J67</f>
        <v/>
      </c>
      <c r="J40" s="869">
        <f>Supuestos!K67</f>
        <v/>
      </c>
      <c r="K40" s="730" t="inlineStr">
        <is>
          <t>NO</t>
        </is>
      </c>
      <c r="L40" s="869" t="n">
        <v>0</v>
      </c>
      <c r="M40" s="730" t="inlineStr">
        <is>
          <t>Pendiente</t>
        </is>
      </c>
      <c r="N40" s="694" t="inlineStr">
        <is>
          <t>Factura imprenta + Muestra manual + Registro entrega usuarios</t>
        </is>
      </c>
    </row>
    <row r="41"/>
    <row r="42" ht="14" customHeight="1" s="549">
      <c r="A42" s="829" t="inlineStr">
        <is>
          <t>TOTAL PROYECTO</t>
        </is>
      </c>
      <c r="B42" s="829" t="n"/>
      <c r="C42" s="829" t="n"/>
      <c r="D42" s="829" t="n"/>
      <c r="E42" s="829" t="n"/>
      <c r="F42" s="829" t="n"/>
      <c r="G42" s="829" t="n"/>
      <c r="H42" s="871">
        <f>Supuestos!I3+Supuestos!I20+Supuestos!I24+Supuestos!I27+Supuestos!I34+Supuestos!I38+Supuestos!I44+Supuestos!I52+Supuestos!I59+Supuestos!I65</f>
        <v/>
      </c>
      <c r="I42" s="871">
        <f>Supuestos!J3+Supuestos!J20+Supuestos!J24+Supuestos!J27+Supuestos!J34+Supuestos!J38+Supuestos!J44+Supuestos!J52+Supuestos!J59+Supuestos!J65</f>
        <v/>
      </c>
      <c r="J42" s="871">
        <f>Supuestos!F74+Supuestos!K20+Supuestos!K24+Supuestos!K27+Supuestos!K34+Supuestos!K38+Supuestos!K44+Supuestos!K52+Supuestos!K59+Supuestos!K65</f>
        <v/>
      </c>
      <c r="K42" s="829" t="inlineStr">
        <is>
          <t>GORE →</t>
        </is>
      </c>
      <c r="L42" s="871">
        <f>Supuestos!F74</f>
        <v/>
      </c>
      <c r="M42" s="829" t="n"/>
      <c r="N42" s="829" t="n"/>
    </row>
    <row r="43"/>
    <row r="44" ht="14" customHeight="1" s="549">
      <c r="A44" s="686" t="inlineStr">
        <is>
          <t>⚠ CONTROL — Monto GORE K3 debe coincidir con Hoja1!C3 = $2.001.190 (BRUTO equipos+traslados)</t>
        </is>
      </c>
      <c r="B44" s="686" t="n"/>
      <c r="C44" s="686" t="n"/>
      <c r="D44" s="686" t="n"/>
      <c r="E44" s="686" t="n"/>
      <c r="F44" s="686" t="n"/>
      <c r="G44" s="686" t="n"/>
      <c r="H44" s="686" t="inlineStr">
        <is>
          <t>Verificación K3:</t>
        </is>
      </c>
      <c r="I44" s="868">
        <f>Supuestos!F74</f>
        <v/>
      </c>
      <c r="J44" s="686" t="inlineStr">
        <is>
          <t>Diferencia:</t>
        </is>
      </c>
      <c r="K44" s="868">
        <f>Supuestos!F74-2001190</f>
        <v/>
      </c>
      <c r="L44" s="686" t="n"/>
      <c r="M44" s="686" t="n"/>
      <c r="N44" s="686" t="n"/>
    </row>
    <row r="45"/>
    <row r="46" ht="14" customHeight="1" s="549">
      <c r="A46" s="694" t="inlineStr">
        <is>
          <t>MARCO NORMATIVO RENDICIÓN: Res. N°30/2015 CGR · Res. Ex. N°1.858/2023 CGR (SISREC obligatorio desde 01/07/2024) · Oficio Circular N°20/2023 Hacienda · Convenio de Transferencia GORE Coquimbo</t>
        </is>
      </c>
      <c r="B46" s="681" t="n"/>
      <c r="C46" s="681" t="n"/>
      <c r="D46" s="681" t="n"/>
      <c r="E46" s="681" t="n"/>
      <c r="F46" s="681" t="n"/>
      <c r="G46" s="681" t="n"/>
      <c r="H46" s="681" t="n"/>
      <c r="I46" s="681" t="n"/>
      <c r="J46" s="681" t="n"/>
      <c r="K46" s="681" t="n"/>
      <c r="L46" s="681" t="n"/>
      <c r="M46" s="681" t="n"/>
      <c r="N46" s="681" t="n"/>
    </row>
    <row r="47"/>
    <row r="48" ht="14" customHeight="1" s="549">
      <c r="A48" s="757" t="inlineStr">
        <is>
          <t>CHECK-LIST DOCUMENTACIÓN EXIGIDA POR GORE — Por cada rendición mensual SISREC</t>
        </is>
      </c>
      <c r="B48" s="686" t="n"/>
      <c r="C48" s="686" t="n"/>
      <c r="D48" s="686" t="n"/>
      <c r="E48" s="686" t="n"/>
      <c r="F48" s="686" t="n"/>
      <c r="G48" s="686" t="n"/>
      <c r="H48" s="686" t="n"/>
      <c r="I48" s="686" t="n"/>
      <c r="J48" s="686" t="n"/>
      <c r="K48" s="686" t="n"/>
      <c r="L48" s="686" t="n"/>
      <c r="M48" s="686" t="n"/>
      <c r="N48" s="686" t="n"/>
    </row>
    <row r="49" ht="14" customHeight="1" s="549">
      <c r="A49" s="729" t="inlineStr">
        <is>
          <t>☐  Compra equipos (ítem 1)</t>
        </is>
      </c>
      <c r="B49" s="681" t="n"/>
      <c r="C49" s="681" t="n"/>
      <c r="D49" s="694" t="inlineStr">
        <is>
          <t>OC Mercado Público · Factura electrónica a nombre/RUT correcto · Comprobante pago bancario · Acta Recepción Conforme · Certificados técnicos fabricante · Acta inventario/resguardo · Fotografías con logo GORE</t>
        </is>
      </c>
      <c r="E49" s="681" t="n"/>
      <c r="F49" s="681" t="n"/>
      <c r="G49" s="681" t="n"/>
      <c r="H49" s="681" t="n"/>
      <c r="I49" s="681" t="n"/>
      <c r="J49" s="681" t="n"/>
      <c r="K49" s="681" t="n"/>
      <c r="L49" s="681" t="n"/>
      <c r="M49" s="681" t="n"/>
      <c r="N49" s="681" t="n"/>
    </row>
    <row r="50" ht="14" customHeight="1" s="549">
      <c r="A50" s="749" t="inlineStr">
        <is>
          <t>☐  Transporte (ítem 7)</t>
        </is>
      </c>
      <c r="B50" s="686" t="n"/>
      <c r="C50" s="686" t="n"/>
      <c r="D50" s="693" t="inlineStr">
        <is>
          <t>Factura transportista · Guía de despacho · Fotografías carga/descarga · Comprobante pago</t>
        </is>
      </c>
      <c r="E50" s="686" t="n"/>
      <c r="F50" s="686" t="n"/>
      <c r="G50" s="686" t="n"/>
      <c r="H50" s="686" t="n"/>
      <c r="I50" s="686" t="n"/>
      <c r="J50" s="686" t="n"/>
      <c r="K50" s="686" t="n"/>
      <c r="L50" s="686" t="n"/>
      <c r="M50" s="686" t="n"/>
      <c r="N50" s="686" t="n"/>
    </row>
    <row r="51" ht="14" customHeight="1" s="549">
      <c r="A51" s="729" t="inlineStr">
        <is>
          <t>☐  Personal (ítem 3)</t>
        </is>
      </c>
      <c r="B51" s="681" t="n"/>
      <c r="C51" s="681" t="n"/>
      <c r="D51" s="694" t="inlineStr">
        <is>
          <t>Liquidación de sueldo · Comprobante pago previsión/impuestos · Libro remuneraciones · Distribución HH proyecto</t>
        </is>
      </c>
      <c r="E51" s="681" t="n"/>
      <c r="F51" s="681" t="n"/>
      <c r="G51" s="681" t="n"/>
      <c r="H51" s="681" t="n"/>
      <c r="I51" s="681" t="n"/>
      <c r="J51" s="681" t="n"/>
      <c r="K51" s="681" t="n"/>
      <c r="L51" s="681" t="n"/>
      <c r="M51" s="681" t="n"/>
      <c r="N51" s="681" t="n"/>
    </row>
    <row r="52" ht="14" customHeight="1" s="549">
      <c r="A52" s="749" t="inlineStr">
        <is>
          <t>☐  Honorarios (ítem 4)</t>
        </is>
      </c>
      <c r="B52" s="686" t="n"/>
      <c r="C52" s="686" t="n"/>
      <c r="D52" s="693" t="inlineStr">
        <is>
          <t>Boleta de honorarios · Retención 10.75% · Comprobante transferencia bancaria · Entregable del servicio</t>
        </is>
      </c>
      <c r="E52" s="686" t="n"/>
      <c r="F52" s="686" t="n"/>
      <c r="G52" s="686" t="n"/>
      <c r="H52" s="686" t="n"/>
      <c r="I52" s="686" t="n"/>
      <c r="J52" s="686" t="n"/>
      <c r="K52" s="686" t="n"/>
      <c r="L52" s="686" t="n"/>
      <c r="M52" s="686" t="n"/>
      <c r="N52" s="686" t="n"/>
    </row>
    <row r="53" ht="14" customHeight="1" s="549">
      <c r="A53" s="729" t="inlineStr">
        <is>
          <t>☐  Alquileres (ítem 5 y 6)</t>
        </is>
      </c>
      <c r="B53" s="681" t="n"/>
      <c r="C53" s="681" t="n"/>
      <c r="D53" s="694" t="inlineStr">
        <is>
          <t>Contrato arriendo · Facturas periódicas · Bitácora uso vehículo (km, conductor, destino)</t>
        </is>
      </c>
      <c r="E53" s="681" t="n"/>
      <c r="F53" s="681" t="n"/>
      <c r="G53" s="681" t="n"/>
      <c r="H53" s="681" t="n"/>
      <c r="I53" s="681" t="n"/>
      <c r="J53" s="681" t="n"/>
      <c r="K53" s="681" t="n"/>
      <c r="L53" s="681" t="n"/>
      <c r="M53" s="681" t="n"/>
      <c r="N53" s="681" t="n"/>
    </row>
    <row r="54" ht="14" customHeight="1" s="549">
      <c r="A54" s="749" t="inlineStr">
        <is>
          <t>☐  Viajes (ítem 8 y 9)</t>
        </is>
      </c>
      <c r="B54" s="686" t="n"/>
      <c r="C54" s="686" t="n"/>
      <c r="D54" s="693" t="inlineStr">
        <is>
          <t>Pasajes/Facturas · Boletas bencina · Boletas peaje · Comprobantes alojamiento · Autorización de viaje</t>
        </is>
      </c>
      <c r="E54" s="686" t="n"/>
      <c r="F54" s="686" t="n"/>
      <c r="G54" s="686" t="n"/>
      <c r="H54" s="686" t="n"/>
      <c r="I54" s="686" t="n"/>
      <c r="J54" s="686" t="n"/>
      <c r="K54" s="686" t="n"/>
      <c r="L54" s="686" t="n"/>
      <c r="M54" s="686" t="n"/>
      <c r="N54" s="686" t="n"/>
    </row>
    <row r="55" ht="14" customHeight="1" s="549">
      <c r="A55" s="729" t="inlineStr">
        <is>
          <t>☐  Gastos varios (ítem 10)</t>
        </is>
      </c>
      <c r="B55" s="681" t="n"/>
      <c r="C55" s="681" t="n"/>
      <c r="D55" s="694" t="inlineStr">
        <is>
          <t>Boletas/Facturas · Finalidad del gasto · Evidencia del bien/servicio recibido</t>
        </is>
      </c>
      <c r="E55" s="681" t="n"/>
      <c r="F55" s="681" t="n"/>
      <c r="G55" s="681" t="n"/>
      <c r="H55" s="681" t="n"/>
      <c r="I55" s="681" t="n"/>
      <c r="J55" s="681" t="n"/>
      <c r="K55" s="681" t="n"/>
      <c r="L55" s="681" t="n"/>
      <c r="M55" s="681" t="n"/>
      <c r="N55" s="681" t="n"/>
    </row>
    <row r="56" ht="14" customHeight="1" s="549">
      <c r="A56" s="749" t="inlineStr">
        <is>
          <t>☐  Por instalación (obligatorio)</t>
        </is>
      </c>
      <c r="B56" s="686" t="n"/>
      <c r="C56" s="686" t="n"/>
      <c r="D56" s="693" t="inlineStr">
        <is>
          <t>Acta entrega terreno · Protocolo puesta en marcha firmado · Certificación TE-1 SEC · Acta capacitación usuario · Fotografías antes/durante/después · Acta Recepción Provisoria</t>
        </is>
      </c>
      <c r="E56" s="686" t="n"/>
      <c r="F56" s="686" t="n"/>
      <c r="G56" s="686" t="n"/>
      <c r="H56" s="686" t="n"/>
      <c r="I56" s="686" t="n"/>
      <c r="J56" s="686" t="n"/>
      <c r="K56" s="686" t="n"/>
      <c r="L56" s="686" t="n"/>
      <c r="M56" s="686" t="n"/>
      <c r="N56" s="686" t="n"/>
    </row>
    <row r="57" ht="14" customHeight="1" s="549">
      <c r="A57" s="729" t="inlineStr">
        <is>
          <t>☐  Por rendición mensual SISREC</t>
        </is>
      </c>
      <c r="B57" s="681" t="n"/>
      <c r="C57" s="681" t="n"/>
      <c r="D57" s="694" t="inlineStr">
        <is>
          <t>Cuadro Excel resumen gastos del mes · Carta conductora Rep. Legal → Jefe DIPIR · Conciliación bancaria · Saldo certificado</t>
        </is>
      </c>
      <c r="E57" s="681" t="n"/>
      <c r="F57" s="681" t="n"/>
      <c r="G57" s="681" t="n"/>
      <c r="H57" s="681" t="n"/>
      <c r="I57" s="681" t="n"/>
      <c r="J57" s="681" t="n"/>
      <c r="K57" s="681" t="n"/>
      <c r="L57" s="681" t="n"/>
      <c r="M57" s="681" t="n"/>
      <c r="N57" s="681" t="n"/>
    </row>
  </sheetData>
  <mergeCells count="46">
    <mergeCell ref="B4:F4"/>
    <mergeCell ref="A25:C25"/>
    <mergeCell ref="D50:N50"/>
    <mergeCell ref="A48:N48"/>
    <mergeCell ref="J5:N5"/>
    <mergeCell ref="B3:F3"/>
    <mergeCell ref="A56:C56"/>
    <mergeCell ref="A42:G42"/>
    <mergeCell ref="A55:C55"/>
    <mergeCell ref="A50:C50"/>
    <mergeCell ref="A57:C57"/>
    <mergeCell ref="A1:N1"/>
    <mergeCell ref="A44:G44"/>
    <mergeCell ref="D54:N54"/>
    <mergeCell ref="A6:N6"/>
    <mergeCell ref="A5:C5"/>
    <mergeCell ref="A23:C23"/>
    <mergeCell ref="D52:N52"/>
    <mergeCell ref="A8:C8"/>
    <mergeCell ref="A17:C17"/>
    <mergeCell ref="D49:N49"/>
    <mergeCell ref="D57:N57"/>
    <mergeCell ref="A53:C53"/>
    <mergeCell ref="H3:J3"/>
    <mergeCell ref="A46:N46"/>
    <mergeCell ref="A38:C38"/>
    <mergeCell ref="A52:C52"/>
    <mergeCell ref="A28:C28"/>
    <mergeCell ref="A13:C13"/>
    <mergeCell ref="A19:C19"/>
    <mergeCell ref="D53:N53"/>
    <mergeCell ref="A2:N2"/>
    <mergeCell ref="M3:N3"/>
    <mergeCell ref="A34:C34"/>
    <mergeCell ref="D56:N56"/>
    <mergeCell ref="A51:C51"/>
    <mergeCell ref="A36:C36"/>
    <mergeCell ref="A49:C49"/>
    <mergeCell ref="E5:G5"/>
    <mergeCell ref="H4:J4"/>
    <mergeCell ref="D55:N55"/>
    <mergeCell ref="D51:N51"/>
    <mergeCell ref="K4:L4"/>
    <mergeCell ref="M4:N4"/>
    <mergeCell ref="A54:C54"/>
    <mergeCell ref="K3:L3"/>
  </mergeCells>
  <pageMargins left="0.75" right="0.75" top="1" bottom="1" header="0.511811023622047" footer="0.511811023622047"/>
  <pageSetup orientation="landscape" horizontalDpi="300" verticalDpi="300"/>
</worksheet>
</file>

<file path=xl/worksheets/sheet16.xml><?xml version="1.0" encoding="utf-8"?>
<worksheet xmlns="http://schemas.openxmlformats.org/spreadsheetml/2006/main">
  <sheetPr>
    <tabColor rgb="FFC55A11"/>
    <outlinePr summaryBelow="1" summaryRight="1"/>
    <pageSetUpPr fitToPage="1"/>
  </sheetPr>
  <dimension ref="A1:Q51"/>
  <sheetViews>
    <sheetView showGridLines="0" zoomScale="130" zoomScaleNormal="130" workbookViewId="0">
      <pane xSplit="1" ySplit="6" topLeftCell="B7" activePane="bottomRight" state="frozen"/>
      <selection pane="topRight" activeCell="G1" sqref="G1"/>
      <selection pane="bottomLeft" activeCell="A7" sqref="A7"/>
      <selection pane="bottomRight" activeCell="D6" sqref="D6"/>
    </sheetView>
  </sheetViews>
  <sheetFormatPr baseColWidth="10" defaultColWidth="8.7109375" defaultRowHeight="15"/>
  <cols>
    <col width="47" customWidth="1" style="549" min="1" max="1"/>
    <col width="20" customWidth="1" style="549" min="2" max="2"/>
    <col width="12" customWidth="1" style="549" min="3" max="3"/>
    <col width="30" customWidth="1" style="549" min="4" max="4"/>
    <col width="47" customWidth="1" style="549" min="5" max="5"/>
    <col width="42" customWidth="1" style="549" min="6" max="6"/>
    <col width="47" customWidth="1" style="549" min="7" max="7"/>
    <col width="19" customWidth="1" style="549" min="8" max="8"/>
    <col width="29" customWidth="1" style="549" min="9" max="9"/>
    <col width="19" customWidth="1" style="549" min="10" max="10"/>
    <col width="21" customWidth="1" style="549" min="11" max="11"/>
    <col width="31" customWidth="1" style="549" min="12" max="12"/>
    <col width="17" customWidth="1" style="549" min="13" max="13"/>
    <col width="14" customWidth="1" style="549" min="14" max="14"/>
    <col width="47" customWidth="1" style="549" min="15" max="15"/>
    <col width="19" customWidth="1" style="549" min="16" max="16"/>
    <col width="31" customWidth="1" style="549" min="17" max="17"/>
  </cols>
  <sheetData>
    <row r="1" ht="20" customHeight="1" s="549">
      <c r="A1" s="746" t="inlineStr">
        <is>
          <t>PLANILLA DE RENDICIÓN MENSUAL — FORMATO SISREC | Luz en Casa GORE · Coquimbo</t>
        </is>
      </c>
    </row>
    <row r="2" ht="13.5" customHeight="1" s="549">
      <c r="A2" s="582" t="inlineStr">
        <is>
          <t>Sistema de Rendición Electrónica de Cuentas (SISREC) · www.rendicioncuentas.cl · Res. Ex. N°1.858/2023 CGR | Subtítulo 33 — Transferencias de Capital</t>
        </is>
      </c>
    </row>
    <row r="3" ht="24" customHeight="1" s="549">
      <c r="A3" s="747" t="inlineStr">
        <is>
          <t>Mes rendición:</t>
        </is>
      </c>
      <c r="B3" s="747" t="inlineStr">
        <is>
          <t>[INGRESAR MES/AÑO]</t>
        </is>
      </c>
      <c r="C3" s="747" t="n"/>
      <c r="D3" s="747" t="n"/>
      <c r="E3" s="747" t="inlineStr">
        <is>
          <t>Ejecutor:</t>
        </is>
      </c>
      <c r="F3" s="747" t="inlineStr">
        <is>
          <t>Fundación acciona.org · RUT: [VERIFICAR]</t>
        </is>
      </c>
      <c r="G3" s="747" t="n"/>
      <c r="H3" s="747" t="n"/>
      <c r="I3" s="747" t="n"/>
      <c r="J3" s="747" t="inlineStr">
        <is>
          <t>Cuenta corriente:</t>
        </is>
      </c>
      <c r="K3" s="747" t="inlineStr">
        <is>
          <t>[N° CUENTA / BANCO]</t>
        </is>
      </c>
      <c r="L3" s="747" t="n"/>
      <c r="M3" s="747" t="n"/>
      <c r="N3" s="747" t="inlineStr">
        <is>
          <t>Cuota N°:</t>
        </is>
      </c>
      <c r="O3" s="747" t="inlineStr">
        <is>
          <t>[N° CUOTA]</t>
        </is>
      </c>
      <c r="P3" s="747" t="n"/>
      <c r="Q3" s="747" t="n"/>
    </row>
    <row r="4" ht="14" customHeight="1" s="549">
      <c r="A4" s="681" t="inlineStr">
        <is>
          <t>Saldo inicial mes:</t>
        </is>
      </c>
      <c r="B4" s="681" t="n"/>
      <c r="C4" s="681" t="n"/>
      <c r="D4" s="872" t="n">
        <v>0</v>
      </c>
      <c r="E4" s="681" t="inlineStr">
        <is>
          <t>Monto cuota recibida:</t>
        </is>
      </c>
      <c r="F4" s="681" t="n"/>
      <c r="G4" s="681" t="n"/>
      <c r="H4" s="872" t="n">
        <v>0</v>
      </c>
      <c r="I4" s="681" t="inlineStr">
        <is>
          <t>Total disponible:</t>
        </is>
      </c>
      <c r="J4" s="681" t="n"/>
      <c r="K4" s="681" t="n"/>
      <c r="L4" s="872">
        <f>D4+H4</f>
        <v/>
      </c>
      <c r="M4" s="681" t="n"/>
      <c r="N4" s="681" t="n"/>
      <c r="O4" s="681" t="n"/>
      <c r="P4" s="681" t="n"/>
      <c r="Q4" s="681" t="n"/>
    </row>
    <row r="5" ht="14" customHeight="1" s="549">
      <c r="A5" s="757" t="inlineStr">
        <is>
          <t>DETALLE DE GASTOS DEL MES — Completar una fila por documento (factura / boleta / boleta honorarios)</t>
        </is>
      </c>
      <c r="B5" s="686" t="n"/>
      <c r="C5" s="686" t="n"/>
      <c r="D5" s="686" t="n"/>
      <c r="E5" s="686" t="n"/>
      <c r="F5" s="686" t="n"/>
      <c r="G5" s="686" t="n"/>
      <c r="H5" s="686" t="n"/>
      <c r="I5" s="686" t="n"/>
      <c r="J5" s="686" t="n"/>
      <c r="K5" s="686" t="n"/>
      <c r="L5" s="686" t="n"/>
      <c r="M5" s="686" t="n"/>
      <c r="N5" s="686" t="n"/>
      <c r="O5" s="686" t="n"/>
      <c r="P5" s="686" t="n"/>
      <c r="Q5" s="686" t="n"/>
    </row>
    <row r="6" ht="14" customHeight="1" s="549">
      <c r="A6" s="733" t="inlineStr">
        <is>
          <t>N°
Orden</t>
        </is>
      </c>
      <c r="B6" s="733" t="inlineStr">
        <is>
          <t>Fecha
Documento</t>
        </is>
      </c>
      <c r="C6" s="733" t="inlineStr">
        <is>
          <t>Fecha
Pago</t>
        </is>
      </c>
      <c r="D6" s="733" t="inlineStr">
        <is>
          <t>N° Factura /
Boleta / B.Hon.</t>
        </is>
      </c>
      <c r="E6" s="733" t="inlineStr">
        <is>
          <t>RUT
Proveedor</t>
        </is>
      </c>
      <c r="F6" s="733" t="inlineStr">
        <is>
          <t>Nombre Proveedor /
Razón Social</t>
        </is>
      </c>
      <c r="G6" s="733" t="inlineStr">
        <is>
          <t>GLOSA — Descripción del gasto
(tal como debe ir en SISREC)</t>
        </is>
      </c>
      <c r="H6" s="733" t="inlineStr">
        <is>
          <t>Subtítulo
Presup.</t>
        </is>
      </c>
      <c r="I6" s="733" t="inlineStr">
        <is>
          <t>Cód.
Analítica</t>
        </is>
      </c>
      <c r="J6" s="733" t="inlineStr">
        <is>
          <t>Tipo
Documento</t>
        </is>
      </c>
      <c r="K6" s="733" t="inlineStr">
        <is>
          <t>Monto
NETO CLP</t>
        </is>
      </c>
      <c r="L6" s="733" t="inlineStr">
        <is>
          <t>IVA
CLP</t>
        </is>
      </c>
      <c r="M6" s="733" t="inlineStr">
        <is>
          <t>Monto
BRUTO CLP</t>
        </is>
      </c>
      <c r="N6" s="733" t="inlineStr">
        <is>
          <t>¿Afecto
IVA?</t>
        </is>
      </c>
      <c r="O6" s="733" t="inlineStr">
        <is>
          <t>N° OC
Mercado Púb.</t>
        </is>
      </c>
      <c r="P6" s="733" t="inlineStr">
        <is>
          <t>Estado
SISREC</t>
        </is>
      </c>
      <c r="Q6" s="733" t="inlineStr">
        <is>
          <t>Observaciones /
Doc. adjuntos</t>
        </is>
      </c>
    </row>
    <row r="7" ht="14" customHeight="1" s="549">
      <c r="A7" s="757" t="n">
        <v>1</v>
      </c>
      <c r="B7" s="873" t="n"/>
      <c r="C7" s="873" t="n"/>
      <c r="D7" s="686" t="n"/>
      <c r="E7" s="686" t="n"/>
      <c r="F7" s="686" t="n"/>
      <c r="G7" s="693" t="n"/>
      <c r="H7" s="757" t="n"/>
      <c r="I7" s="757" t="n"/>
      <c r="J7" s="757" t="n"/>
      <c r="K7" s="870" t="n"/>
      <c r="L7" s="870">
        <f>IF(N7="Sí (19%)",K7*19%,0)</f>
        <v/>
      </c>
      <c r="M7" s="870">
        <f>K7+L7</f>
        <v/>
      </c>
      <c r="N7" s="757" t="inlineStr">
        <is>
          <t>Sí (19%)</t>
        </is>
      </c>
      <c r="O7" s="757" t="n"/>
      <c r="P7" s="757" t="inlineStr">
        <is>
          <t>Pendiente ingreso</t>
        </is>
      </c>
      <c r="Q7" s="693" t="n"/>
    </row>
    <row r="8" ht="14" customHeight="1" s="549">
      <c r="A8" s="730" t="n">
        <v>2</v>
      </c>
      <c r="B8" s="874" t="n"/>
      <c r="C8" s="874" t="n"/>
      <c r="D8" s="681" t="n"/>
      <c r="E8" s="681" t="n"/>
      <c r="F8" s="681" t="n"/>
      <c r="G8" s="694" t="n"/>
      <c r="H8" s="730" t="n"/>
      <c r="I8" s="730" t="n"/>
      <c r="J8" s="730" t="n"/>
      <c r="K8" s="869" t="n"/>
      <c r="L8" s="869">
        <f>IF(N8="Sí (19%)",K8*19%,0)</f>
        <v/>
      </c>
      <c r="M8" s="869">
        <f>K8+L8</f>
        <v/>
      </c>
      <c r="N8" s="730" t="inlineStr">
        <is>
          <t>Sí (19%)</t>
        </is>
      </c>
      <c r="O8" s="730" t="n"/>
      <c r="P8" s="730" t="inlineStr">
        <is>
          <t>Pendiente ingreso</t>
        </is>
      </c>
      <c r="Q8" s="694" t="n"/>
    </row>
    <row r="9" ht="14" customHeight="1" s="549">
      <c r="A9" s="757" t="n">
        <v>3</v>
      </c>
      <c r="B9" s="873" t="n"/>
      <c r="C9" s="873" t="n"/>
      <c r="D9" s="686" t="n"/>
      <c r="E9" s="686" t="n"/>
      <c r="F9" s="686" t="n"/>
      <c r="G9" s="693" t="n"/>
      <c r="H9" s="757" t="n"/>
      <c r="I9" s="757" t="n"/>
      <c r="J9" s="757" t="n"/>
      <c r="K9" s="870" t="n"/>
      <c r="L9" s="870">
        <f>IF(N9="Sí (19%)",K9*19%,0)</f>
        <v/>
      </c>
      <c r="M9" s="870">
        <f>K9+L9</f>
        <v/>
      </c>
      <c r="N9" s="757" t="inlineStr">
        <is>
          <t>Sí (19%)</t>
        </is>
      </c>
      <c r="O9" s="757" t="n"/>
      <c r="P9" s="757" t="inlineStr">
        <is>
          <t>Pendiente ingreso</t>
        </is>
      </c>
      <c r="Q9" s="693" t="n"/>
    </row>
    <row r="10" ht="14" customHeight="1" s="549">
      <c r="A10" s="730" t="n">
        <v>4</v>
      </c>
      <c r="B10" s="874" t="n"/>
      <c r="C10" s="874" t="n"/>
      <c r="D10" s="681" t="n"/>
      <c r="E10" s="681" t="n"/>
      <c r="F10" s="681" t="n"/>
      <c r="G10" s="694" t="n"/>
      <c r="H10" s="730" t="n"/>
      <c r="I10" s="730" t="n"/>
      <c r="J10" s="730" t="n"/>
      <c r="K10" s="869" t="n"/>
      <c r="L10" s="869">
        <f>IF(N10="Sí (19%)",K10*19%,0)</f>
        <v/>
      </c>
      <c r="M10" s="869">
        <f>K10+L10</f>
        <v/>
      </c>
      <c r="N10" s="730" t="inlineStr">
        <is>
          <t>Sí (19%)</t>
        </is>
      </c>
      <c r="O10" s="730" t="n"/>
      <c r="P10" s="730" t="inlineStr">
        <is>
          <t>Pendiente ingreso</t>
        </is>
      </c>
      <c r="Q10" s="694" t="n"/>
    </row>
    <row r="11" ht="14" customHeight="1" s="549">
      <c r="A11" s="757" t="n">
        <v>5</v>
      </c>
      <c r="B11" s="873" t="n"/>
      <c r="C11" s="873" t="n"/>
      <c r="D11" s="686" t="n"/>
      <c r="E11" s="686" t="n"/>
      <c r="F11" s="686" t="n"/>
      <c r="G11" s="693" t="n"/>
      <c r="H11" s="757" t="n"/>
      <c r="I11" s="757" t="n"/>
      <c r="J11" s="757" t="n"/>
      <c r="K11" s="870" t="n"/>
      <c r="L11" s="870">
        <f>IF(N11="Sí (19%)",K11*19%,0)</f>
        <v/>
      </c>
      <c r="M11" s="870">
        <f>K11+L11</f>
        <v/>
      </c>
      <c r="N11" s="757" t="inlineStr">
        <is>
          <t>Sí (19%)</t>
        </is>
      </c>
      <c r="O11" s="757" t="n"/>
      <c r="P11" s="757" t="inlineStr">
        <is>
          <t>Pendiente ingreso</t>
        </is>
      </c>
      <c r="Q11" s="693" t="n"/>
    </row>
    <row r="12" ht="14" customHeight="1" s="549">
      <c r="A12" s="730" t="n">
        <v>6</v>
      </c>
      <c r="B12" s="874" t="n"/>
      <c r="C12" s="874" t="n"/>
      <c r="D12" s="681" t="n"/>
      <c r="E12" s="681" t="n"/>
      <c r="F12" s="681" t="n"/>
      <c r="G12" s="694" t="n"/>
      <c r="H12" s="730" t="n"/>
      <c r="I12" s="730" t="n"/>
      <c r="J12" s="730" t="n"/>
      <c r="K12" s="869" t="n"/>
      <c r="L12" s="869">
        <f>IF(N12="Sí (19%)",K12*19%,0)</f>
        <v/>
      </c>
      <c r="M12" s="869">
        <f>K12+L12</f>
        <v/>
      </c>
      <c r="N12" s="730" t="inlineStr">
        <is>
          <t>Sí (19%)</t>
        </is>
      </c>
      <c r="O12" s="730" t="n"/>
      <c r="P12" s="730" t="inlineStr">
        <is>
          <t>Pendiente ingreso</t>
        </is>
      </c>
      <c r="Q12" s="694" t="n"/>
    </row>
    <row r="13" ht="14" customHeight="1" s="549">
      <c r="A13" s="757" t="n">
        <v>7</v>
      </c>
      <c r="B13" s="873" t="n"/>
      <c r="C13" s="873" t="n"/>
      <c r="D13" s="686" t="n"/>
      <c r="E13" s="686" t="n"/>
      <c r="F13" s="686" t="n"/>
      <c r="G13" s="693" t="n"/>
      <c r="H13" s="757" t="n"/>
      <c r="I13" s="757" t="n"/>
      <c r="J13" s="757" t="n"/>
      <c r="K13" s="870" t="n"/>
      <c r="L13" s="870">
        <f>IF(N13="Sí (19%)",K13*19%,0)</f>
        <v/>
      </c>
      <c r="M13" s="870">
        <f>K13+L13</f>
        <v/>
      </c>
      <c r="N13" s="757" t="inlineStr">
        <is>
          <t>Sí (19%)</t>
        </is>
      </c>
      <c r="O13" s="757" t="n"/>
      <c r="P13" s="757" t="inlineStr">
        <is>
          <t>Pendiente ingreso</t>
        </is>
      </c>
      <c r="Q13" s="693" t="n"/>
    </row>
    <row r="14" ht="14" customHeight="1" s="549">
      <c r="A14" s="730" t="n">
        <v>8</v>
      </c>
      <c r="B14" s="874" t="n"/>
      <c r="C14" s="874" t="n"/>
      <c r="D14" s="681" t="n"/>
      <c r="E14" s="681" t="n"/>
      <c r="F14" s="681" t="n"/>
      <c r="G14" s="694" t="n"/>
      <c r="H14" s="730" t="n"/>
      <c r="I14" s="730" t="n"/>
      <c r="J14" s="730" t="n"/>
      <c r="K14" s="869" t="n"/>
      <c r="L14" s="869">
        <f>IF(N14="Sí (19%)",K14*19%,0)</f>
        <v/>
      </c>
      <c r="M14" s="869">
        <f>K14+L14</f>
        <v/>
      </c>
      <c r="N14" s="730" t="inlineStr">
        <is>
          <t>Sí (19%)</t>
        </is>
      </c>
      <c r="O14" s="730" t="n"/>
      <c r="P14" s="730" t="inlineStr">
        <is>
          <t>Pendiente ingreso</t>
        </is>
      </c>
      <c r="Q14" s="694" t="n"/>
    </row>
    <row r="15" ht="14" customHeight="1" s="549">
      <c r="A15" s="757" t="n">
        <v>9</v>
      </c>
      <c r="B15" s="873" t="n"/>
      <c r="C15" s="873" t="n"/>
      <c r="D15" s="686" t="n"/>
      <c r="E15" s="686" t="n"/>
      <c r="F15" s="686" t="n"/>
      <c r="G15" s="693" t="n"/>
      <c r="H15" s="757" t="n"/>
      <c r="I15" s="757" t="n"/>
      <c r="J15" s="757" t="n"/>
      <c r="K15" s="870" t="n"/>
      <c r="L15" s="870">
        <f>IF(N15="Sí (19%)",K15*19%,0)</f>
        <v/>
      </c>
      <c r="M15" s="870">
        <f>K15+L15</f>
        <v/>
      </c>
      <c r="N15" s="757" t="inlineStr">
        <is>
          <t>Sí (19%)</t>
        </is>
      </c>
      <c r="O15" s="757" t="n"/>
      <c r="P15" s="757" t="inlineStr">
        <is>
          <t>Pendiente ingreso</t>
        </is>
      </c>
      <c r="Q15" s="693" t="n"/>
    </row>
    <row r="16" ht="14" customHeight="1" s="549">
      <c r="A16" s="730" t="n">
        <v>10</v>
      </c>
      <c r="B16" s="874" t="n"/>
      <c r="C16" s="874" t="n"/>
      <c r="D16" s="681" t="n"/>
      <c r="E16" s="681" t="n"/>
      <c r="F16" s="681" t="n"/>
      <c r="G16" s="694" t="n"/>
      <c r="H16" s="730" t="n"/>
      <c r="I16" s="730" t="n"/>
      <c r="J16" s="730" t="n"/>
      <c r="K16" s="869" t="n"/>
      <c r="L16" s="869">
        <f>IF(N16="Sí (19%)",K16*19%,0)</f>
        <v/>
      </c>
      <c r="M16" s="869">
        <f>K16+L16</f>
        <v/>
      </c>
      <c r="N16" s="730" t="inlineStr">
        <is>
          <t>Sí (19%)</t>
        </is>
      </c>
      <c r="O16" s="730" t="n"/>
      <c r="P16" s="730" t="inlineStr">
        <is>
          <t>Pendiente ingreso</t>
        </is>
      </c>
      <c r="Q16" s="694" t="n"/>
    </row>
    <row r="17" ht="14" customHeight="1" s="549">
      <c r="A17" s="757" t="n">
        <v>11</v>
      </c>
      <c r="B17" s="873" t="n"/>
      <c r="C17" s="873" t="n"/>
      <c r="D17" s="686" t="n"/>
      <c r="E17" s="686" t="n"/>
      <c r="F17" s="686" t="n"/>
      <c r="G17" s="693" t="n"/>
      <c r="H17" s="757" t="n"/>
      <c r="I17" s="757" t="n"/>
      <c r="J17" s="757" t="n"/>
      <c r="K17" s="870" t="n"/>
      <c r="L17" s="870">
        <f>IF(N17="Sí (19%)",K17*19%,0)</f>
        <v/>
      </c>
      <c r="M17" s="870">
        <f>K17+L17</f>
        <v/>
      </c>
      <c r="N17" s="757" t="inlineStr">
        <is>
          <t>Sí (19%)</t>
        </is>
      </c>
      <c r="O17" s="757" t="n"/>
      <c r="P17" s="757" t="inlineStr">
        <is>
          <t>Pendiente ingreso</t>
        </is>
      </c>
      <c r="Q17" s="693" t="n"/>
    </row>
    <row r="18" ht="14" customHeight="1" s="549">
      <c r="A18" s="730" t="n">
        <v>12</v>
      </c>
      <c r="B18" s="874" t="n"/>
      <c r="C18" s="874" t="n"/>
      <c r="D18" s="681" t="n"/>
      <c r="E18" s="681" t="n"/>
      <c r="F18" s="681" t="n"/>
      <c r="G18" s="694" t="n"/>
      <c r="H18" s="730" t="n"/>
      <c r="I18" s="730" t="n"/>
      <c r="J18" s="730" t="n"/>
      <c r="K18" s="869" t="n"/>
      <c r="L18" s="869">
        <f>IF(N18="Sí (19%)",K18*19%,0)</f>
        <v/>
      </c>
      <c r="M18" s="869">
        <f>K18+L18</f>
        <v/>
      </c>
      <c r="N18" s="730" t="inlineStr">
        <is>
          <t>Sí (19%)</t>
        </is>
      </c>
      <c r="O18" s="730" t="n"/>
      <c r="P18" s="730" t="inlineStr">
        <is>
          <t>Pendiente ingreso</t>
        </is>
      </c>
      <c r="Q18" s="694" t="n"/>
    </row>
    <row r="19" ht="14" customHeight="1" s="549">
      <c r="A19" s="757" t="n">
        <v>13</v>
      </c>
      <c r="B19" s="873" t="n"/>
      <c r="C19" s="873" t="n"/>
      <c r="D19" s="686" t="n"/>
      <c r="E19" s="686" t="n"/>
      <c r="F19" s="686" t="n"/>
      <c r="G19" s="693" t="n"/>
      <c r="H19" s="757" t="n"/>
      <c r="I19" s="757" t="n"/>
      <c r="J19" s="757" t="n"/>
      <c r="K19" s="870" t="n"/>
      <c r="L19" s="870">
        <f>IF(N19="Sí (19%)",K19*19%,0)</f>
        <v/>
      </c>
      <c r="M19" s="870">
        <f>K19+L19</f>
        <v/>
      </c>
      <c r="N19" s="757" t="inlineStr">
        <is>
          <t>Sí (19%)</t>
        </is>
      </c>
      <c r="O19" s="757" t="n"/>
      <c r="P19" s="757" t="inlineStr">
        <is>
          <t>Pendiente ingreso</t>
        </is>
      </c>
      <c r="Q19" s="693" t="n"/>
    </row>
    <row r="20" ht="14" customHeight="1" s="549">
      <c r="A20" s="730" t="n">
        <v>14</v>
      </c>
      <c r="B20" s="874" t="n"/>
      <c r="C20" s="874" t="n"/>
      <c r="D20" s="681" t="n"/>
      <c r="E20" s="681" t="n"/>
      <c r="F20" s="681" t="n"/>
      <c r="G20" s="694" t="n"/>
      <c r="H20" s="730" t="n"/>
      <c r="I20" s="730" t="n"/>
      <c r="J20" s="730" t="n"/>
      <c r="K20" s="869" t="n"/>
      <c r="L20" s="869">
        <f>IF(N20="Sí (19%)",K20*19%,0)</f>
        <v/>
      </c>
      <c r="M20" s="869">
        <f>K20+L20</f>
        <v/>
      </c>
      <c r="N20" s="730" t="inlineStr">
        <is>
          <t>Sí (19%)</t>
        </is>
      </c>
      <c r="O20" s="730" t="n"/>
      <c r="P20" s="730" t="inlineStr">
        <is>
          <t>Pendiente ingreso</t>
        </is>
      </c>
      <c r="Q20" s="694" t="n"/>
    </row>
    <row r="21" ht="14" customHeight="1" s="549">
      <c r="A21" s="757" t="n">
        <v>15</v>
      </c>
      <c r="B21" s="873" t="n"/>
      <c r="C21" s="873" t="n"/>
      <c r="D21" s="686" t="n"/>
      <c r="E21" s="686" t="n"/>
      <c r="F21" s="686" t="n"/>
      <c r="G21" s="693" t="n"/>
      <c r="H21" s="757" t="n"/>
      <c r="I21" s="757" t="n"/>
      <c r="J21" s="757" t="n"/>
      <c r="K21" s="870" t="n"/>
      <c r="L21" s="870">
        <f>IF(N21="Sí (19%)",K21*19%,0)</f>
        <v/>
      </c>
      <c r="M21" s="870">
        <f>K21+L21</f>
        <v/>
      </c>
      <c r="N21" s="757" t="inlineStr">
        <is>
          <t>Sí (19%)</t>
        </is>
      </c>
      <c r="O21" s="757" t="n"/>
      <c r="P21" s="757" t="inlineStr">
        <is>
          <t>Pendiente ingreso</t>
        </is>
      </c>
      <c r="Q21" s="693" t="n"/>
    </row>
    <row r="22" ht="14" customHeight="1" s="549">
      <c r="A22" s="730" t="n">
        <v>16</v>
      </c>
      <c r="B22" s="874" t="n"/>
      <c r="C22" s="874" t="n"/>
      <c r="D22" s="681" t="n"/>
      <c r="E22" s="681" t="n"/>
      <c r="F22" s="681" t="n"/>
      <c r="G22" s="694" t="n"/>
      <c r="H22" s="730" t="n"/>
      <c r="I22" s="730" t="n"/>
      <c r="J22" s="730" t="n"/>
      <c r="K22" s="869" t="n"/>
      <c r="L22" s="869">
        <f>IF(N22="Sí (19%)",K22*19%,0)</f>
        <v/>
      </c>
      <c r="M22" s="869">
        <f>K22+L22</f>
        <v/>
      </c>
      <c r="N22" s="730" t="inlineStr">
        <is>
          <t>Sí (19%)</t>
        </is>
      </c>
      <c r="O22" s="730" t="n"/>
      <c r="P22" s="730" t="inlineStr">
        <is>
          <t>Pendiente ingreso</t>
        </is>
      </c>
      <c r="Q22" s="694" t="n"/>
    </row>
    <row r="23" ht="14" customHeight="1" s="549">
      <c r="A23" s="757" t="n">
        <v>17</v>
      </c>
      <c r="B23" s="873" t="n"/>
      <c r="C23" s="873" t="n"/>
      <c r="D23" s="686" t="n"/>
      <c r="E23" s="686" t="n"/>
      <c r="F23" s="686" t="n"/>
      <c r="G23" s="693" t="n"/>
      <c r="H23" s="757" t="n"/>
      <c r="I23" s="757" t="n"/>
      <c r="J23" s="757" t="n"/>
      <c r="K23" s="870" t="n"/>
      <c r="L23" s="870">
        <f>IF(N23="Sí (19%)",K23*19%,0)</f>
        <v/>
      </c>
      <c r="M23" s="870">
        <f>K23+L23</f>
        <v/>
      </c>
      <c r="N23" s="757" t="inlineStr">
        <is>
          <t>Sí (19%)</t>
        </is>
      </c>
      <c r="O23" s="757" t="n"/>
      <c r="P23" s="757" t="inlineStr">
        <is>
          <t>Pendiente ingreso</t>
        </is>
      </c>
      <c r="Q23" s="693" t="n"/>
    </row>
    <row r="24" ht="14" customHeight="1" s="549">
      <c r="A24" s="730" t="n">
        <v>18</v>
      </c>
      <c r="B24" s="874" t="n"/>
      <c r="C24" s="874" t="n"/>
      <c r="D24" s="681" t="n"/>
      <c r="E24" s="681" t="n"/>
      <c r="F24" s="681" t="n"/>
      <c r="G24" s="694" t="n"/>
      <c r="H24" s="730" t="n"/>
      <c r="I24" s="730" t="n"/>
      <c r="J24" s="730" t="n"/>
      <c r="K24" s="869" t="n"/>
      <c r="L24" s="869">
        <f>IF(N24="Sí (19%)",K24*19%,0)</f>
        <v/>
      </c>
      <c r="M24" s="869">
        <f>K24+L24</f>
        <v/>
      </c>
      <c r="N24" s="730" t="inlineStr">
        <is>
          <t>Sí (19%)</t>
        </is>
      </c>
      <c r="O24" s="730" t="n"/>
      <c r="P24" s="730" t="inlineStr">
        <is>
          <t>Pendiente ingreso</t>
        </is>
      </c>
      <c r="Q24" s="694" t="n"/>
    </row>
    <row r="25" ht="14" customHeight="1" s="549">
      <c r="A25" s="757" t="n">
        <v>19</v>
      </c>
      <c r="B25" s="873" t="n"/>
      <c r="C25" s="873" t="n"/>
      <c r="D25" s="686" t="n"/>
      <c r="E25" s="686" t="n"/>
      <c r="F25" s="686" t="n"/>
      <c r="G25" s="693" t="n"/>
      <c r="H25" s="757" t="n"/>
      <c r="I25" s="757" t="n"/>
      <c r="J25" s="757" t="n"/>
      <c r="K25" s="870" t="n"/>
      <c r="L25" s="870">
        <f>IF(N25="Sí (19%)",K25*19%,0)</f>
        <v/>
      </c>
      <c r="M25" s="870">
        <f>K25+L25</f>
        <v/>
      </c>
      <c r="N25" s="757" t="inlineStr">
        <is>
          <t>Sí (19%)</t>
        </is>
      </c>
      <c r="O25" s="757" t="n"/>
      <c r="P25" s="757" t="inlineStr">
        <is>
          <t>Pendiente ingreso</t>
        </is>
      </c>
      <c r="Q25" s="693" t="n"/>
    </row>
    <row r="26" ht="14" customHeight="1" s="549">
      <c r="A26" s="730" t="n">
        <v>20</v>
      </c>
      <c r="B26" s="874" t="n"/>
      <c r="C26" s="874" t="n"/>
      <c r="D26" s="681" t="n"/>
      <c r="E26" s="681" t="n"/>
      <c r="F26" s="681" t="n"/>
      <c r="G26" s="694" t="n"/>
      <c r="H26" s="730" t="n"/>
      <c r="I26" s="730" t="n"/>
      <c r="J26" s="730" t="n"/>
      <c r="K26" s="869" t="n"/>
      <c r="L26" s="869">
        <f>IF(N26="Sí (19%)",K26*19%,0)</f>
        <v/>
      </c>
      <c r="M26" s="869">
        <f>K26+L26</f>
        <v/>
      </c>
      <c r="N26" s="730" t="inlineStr">
        <is>
          <t>Sí (19%)</t>
        </is>
      </c>
      <c r="O26" s="730" t="n"/>
      <c r="P26" s="730" t="inlineStr">
        <is>
          <t>Pendiente ingreso</t>
        </is>
      </c>
      <c r="Q26" s="694" t="n"/>
    </row>
    <row r="27" ht="14" customHeight="1" s="549">
      <c r="A27" s="757" t="n">
        <v>21</v>
      </c>
      <c r="B27" s="873" t="n"/>
      <c r="C27" s="873" t="n"/>
      <c r="D27" s="686" t="n"/>
      <c r="E27" s="686" t="n"/>
      <c r="F27" s="686" t="n"/>
      <c r="G27" s="693" t="n"/>
      <c r="H27" s="757" t="n"/>
      <c r="I27" s="757" t="n"/>
      <c r="J27" s="757" t="n"/>
      <c r="K27" s="870" t="n"/>
      <c r="L27" s="870">
        <f>IF(N27="Sí (19%)",K27*19%,0)</f>
        <v/>
      </c>
      <c r="M27" s="870">
        <f>K27+L27</f>
        <v/>
      </c>
      <c r="N27" s="757" t="inlineStr">
        <is>
          <t>Sí (19%)</t>
        </is>
      </c>
      <c r="O27" s="757" t="n"/>
      <c r="P27" s="757" t="inlineStr">
        <is>
          <t>Pendiente ingreso</t>
        </is>
      </c>
      <c r="Q27" s="693" t="n"/>
    </row>
    <row r="28" ht="14" customHeight="1" s="549">
      <c r="A28" s="730" t="n">
        <v>22</v>
      </c>
      <c r="B28" s="874" t="n"/>
      <c r="C28" s="874" t="n"/>
      <c r="D28" s="681" t="n"/>
      <c r="E28" s="681" t="n"/>
      <c r="F28" s="681" t="n"/>
      <c r="G28" s="694" t="n"/>
      <c r="H28" s="730" t="n"/>
      <c r="I28" s="730" t="n"/>
      <c r="J28" s="730" t="n"/>
      <c r="K28" s="869" t="n"/>
      <c r="L28" s="869">
        <f>IF(N28="Sí (19%)",K28*19%,0)</f>
        <v/>
      </c>
      <c r="M28" s="869">
        <f>K28+L28</f>
        <v/>
      </c>
      <c r="N28" s="730" t="inlineStr">
        <is>
          <t>Sí (19%)</t>
        </is>
      </c>
      <c r="O28" s="730" t="n"/>
      <c r="P28" s="730" t="inlineStr">
        <is>
          <t>Pendiente ingreso</t>
        </is>
      </c>
      <c r="Q28" s="694" t="n"/>
    </row>
    <row r="29" ht="14" customHeight="1" s="549">
      <c r="A29" s="757" t="n">
        <v>23</v>
      </c>
      <c r="B29" s="873" t="n"/>
      <c r="C29" s="873" t="n"/>
      <c r="D29" s="686" t="n"/>
      <c r="E29" s="686" t="n"/>
      <c r="F29" s="686" t="n"/>
      <c r="G29" s="693" t="n"/>
      <c r="H29" s="757" t="n"/>
      <c r="I29" s="757" t="n"/>
      <c r="J29" s="757" t="n"/>
      <c r="K29" s="870" t="n"/>
      <c r="L29" s="870">
        <f>IF(N29="Sí (19%)",K29*19%,0)</f>
        <v/>
      </c>
      <c r="M29" s="870">
        <f>K29+L29</f>
        <v/>
      </c>
      <c r="N29" s="757" t="inlineStr">
        <is>
          <t>Sí (19%)</t>
        </is>
      </c>
      <c r="O29" s="757" t="n"/>
      <c r="P29" s="757" t="inlineStr">
        <is>
          <t>Pendiente ingreso</t>
        </is>
      </c>
      <c r="Q29" s="693" t="n"/>
    </row>
    <row r="30" ht="14" customHeight="1" s="549">
      <c r="A30" s="730" t="n">
        <v>24</v>
      </c>
      <c r="B30" s="874" t="n"/>
      <c r="C30" s="874" t="n"/>
      <c r="D30" s="681" t="n"/>
      <c r="E30" s="681" t="n"/>
      <c r="F30" s="681" t="n"/>
      <c r="G30" s="694" t="n"/>
      <c r="H30" s="730" t="n"/>
      <c r="I30" s="730" t="n"/>
      <c r="J30" s="730" t="n"/>
      <c r="K30" s="869" t="n"/>
      <c r="L30" s="869">
        <f>IF(N30="Sí (19%)",K30*19%,0)</f>
        <v/>
      </c>
      <c r="M30" s="869">
        <f>K30+L30</f>
        <v/>
      </c>
      <c r="N30" s="730" t="inlineStr">
        <is>
          <t>Sí (19%)</t>
        </is>
      </c>
      <c r="O30" s="730" t="n"/>
      <c r="P30" s="730" t="inlineStr">
        <is>
          <t>Pendiente ingreso</t>
        </is>
      </c>
      <c r="Q30" s="694" t="n"/>
    </row>
    <row r="31" ht="14" customHeight="1" s="549">
      <c r="A31" s="757" t="n">
        <v>25</v>
      </c>
      <c r="B31" s="873" t="n"/>
      <c r="C31" s="873" t="n"/>
      <c r="D31" s="686" t="n"/>
      <c r="E31" s="686" t="n"/>
      <c r="F31" s="686" t="n"/>
      <c r="G31" s="693" t="n"/>
      <c r="H31" s="757" t="n"/>
      <c r="I31" s="757" t="n"/>
      <c r="J31" s="757" t="n"/>
      <c r="K31" s="870" t="n"/>
      <c r="L31" s="870">
        <f>IF(N31="Sí (19%)",K31*19%,0)</f>
        <v/>
      </c>
      <c r="M31" s="870">
        <f>K31+L31</f>
        <v/>
      </c>
      <c r="N31" s="757" t="inlineStr">
        <is>
          <t>Sí (19%)</t>
        </is>
      </c>
      <c r="O31" s="757" t="n"/>
      <c r="P31" s="757" t="inlineStr">
        <is>
          <t>Pendiente ingreso</t>
        </is>
      </c>
      <c r="Q31" s="693" t="n"/>
    </row>
    <row r="32" ht="14" customHeight="1" s="549">
      <c r="A32" s="730" t="n">
        <v>26</v>
      </c>
      <c r="B32" s="874" t="n"/>
      <c r="C32" s="874" t="n"/>
      <c r="D32" s="681" t="n"/>
      <c r="E32" s="681" t="n"/>
      <c r="F32" s="681" t="n"/>
      <c r="G32" s="694" t="n"/>
      <c r="H32" s="730" t="n"/>
      <c r="I32" s="730" t="n"/>
      <c r="J32" s="730" t="n"/>
      <c r="K32" s="869" t="n"/>
      <c r="L32" s="869">
        <f>IF(N32="Sí (19%)",K32*19%,0)</f>
        <v/>
      </c>
      <c r="M32" s="869">
        <f>K32+L32</f>
        <v/>
      </c>
      <c r="N32" s="730" t="inlineStr">
        <is>
          <t>Sí (19%)</t>
        </is>
      </c>
      <c r="O32" s="730" t="n"/>
      <c r="P32" s="730" t="inlineStr">
        <is>
          <t>Pendiente ingreso</t>
        </is>
      </c>
      <c r="Q32" s="694" t="n"/>
    </row>
    <row r="33" ht="14" customHeight="1" s="549">
      <c r="A33" s="757" t="n">
        <v>27</v>
      </c>
      <c r="B33" s="873" t="n"/>
      <c r="C33" s="873" t="n"/>
      <c r="D33" s="686" t="n"/>
      <c r="E33" s="686" t="n"/>
      <c r="F33" s="686" t="n"/>
      <c r="G33" s="693" t="n"/>
      <c r="H33" s="757" t="n"/>
      <c r="I33" s="757" t="n"/>
      <c r="J33" s="757" t="n"/>
      <c r="K33" s="870" t="n"/>
      <c r="L33" s="870">
        <f>IF(N33="Sí (19%)",K33*19%,0)</f>
        <v/>
      </c>
      <c r="M33" s="870">
        <f>K33+L33</f>
        <v/>
      </c>
      <c r="N33" s="757" t="inlineStr">
        <is>
          <t>Sí (19%)</t>
        </is>
      </c>
      <c r="O33" s="757" t="n"/>
      <c r="P33" s="757" t="inlineStr">
        <is>
          <t>Pendiente ingreso</t>
        </is>
      </c>
      <c r="Q33" s="693" t="n"/>
    </row>
    <row r="34" ht="14" customHeight="1" s="549">
      <c r="A34" s="730" t="n">
        <v>28</v>
      </c>
      <c r="B34" s="874" t="n"/>
      <c r="C34" s="874" t="n"/>
      <c r="D34" s="681" t="n"/>
      <c r="E34" s="681" t="n"/>
      <c r="F34" s="681" t="n"/>
      <c r="G34" s="694" t="n"/>
      <c r="H34" s="730" t="n"/>
      <c r="I34" s="730" t="n"/>
      <c r="J34" s="730" t="n"/>
      <c r="K34" s="869" t="n"/>
      <c r="L34" s="869">
        <f>IF(N34="Sí (19%)",K34*19%,0)</f>
        <v/>
      </c>
      <c r="M34" s="869">
        <f>K34+L34</f>
        <v/>
      </c>
      <c r="N34" s="730" t="inlineStr">
        <is>
          <t>Sí (19%)</t>
        </is>
      </c>
      <c r="O34" s="730" t="n"/>
      <c r="P34" s="730" t="inlineStr">
        <is>
          <t>Pendiente ingreso</t>
        </is>
      </c>
      <c r="Q34" s="694" t="n"/>
    </row>
    <row r="35" ht="14" customHeight="1" s="549">
      <c r="A35" s="757" t="n">
        <v>29</v>
      </c>
      <c r="B35" s="873" t="n"/>
      <c r="C35" s="873" t="n"/>
      <c r="D35" s="686" t="n"/>
      <c r="E35" s="686" t="n"/>
      <c r="F35" s="686" t="n"/>
      <c r="G35" s="693" t="n"/>
      <c r="H35" s="757" t="n"/>
      <c r="I35" s="757" t="n"/>
      <c r="J35" s="757" t="n"/>
      <c r="K35" s="870" t="n"/>
      <c r="L35" s="870">
        <f>IF(N35="Sí (19%)",K35*19%,0)</f>
        <v/>
      </c>
      <c r="M35" s="870">
        <f>K35+L35</f>
        <v/>
      </c>
      <c r="N35" s="757" t="inlineStr">
        <is>
          <t>Sí (19%)</t>
        </is>
      </c>
      <c r="O35" s="757" t="n"/>
      <c r="P35" s="757" t="inlineStr">
        <is>
          <t>Pendiente ingreso</t>
        </is>
      </c>
      <c r="Q35" s="693" t="n"/>
    </row>
    <row r="36" ht="14" customHeight="1" s="549">
      <c r="A36" s="730" t="n">
        <v>30</v>
      </c>
      <c r="B36" s="874" t="n"/>
      <c r="C36" s="874" t="n"/>
      <c r="D36" s="681" t="n"/>
      <c r="E36" s="681" t="n"/>
      <c r="F36" s="681" t="n"/>
      <c r="G36" s="694" t="n"/>
      <c r="H36" s="730" t="n"/>
      <c r="I36" s="730" t="n"/>
      <c r="J36" s="730" t="n"/>
      <c r="K36" s="869" t="n"/>
      <c r="L36" s="869">
        <f>IF(N36="Sí (19%)",K36*19%,0)</f>
        <v/>
      </c>
      <c r="M36" s="869">
        <f>K36+L36</f>
        <v/>
      </c>
      <c r="N36" s="730" t="inlineStr">
        <is>
          <t>Sí (19%)</t>
        </is>
      </c>
      <c r="O36" s="730" t="n"/>
      <c r="P36" s="730" t="inlineStr">
        <is>
          <t>Pendiente ingreso</t>
        </is>
      </c>
      <c r="Q36" s="694" t="n"/>
    </row>
    <row r="37" ht="14" customHeight="1" s="549">
      <c r="A37" s="829" t="inlineStr">
        <is>
          <t>TOTALES DEL MES</t>
        </is>
      </c>
      <c r="B37" s="829" t="n"/>
      <c r="C37" s="829" t="n"/>
      <c r="D37" s="829" t="n"/>
      <c r="E37" s="829" t="n"/>
      <c r="F37" s="829" t="n"/>
      <c r="G37" s="829" t="n"/>
      <c r="H37" s="829" t="n"/>
      <c r="I37" s="829" t="n"/>
      <c r="J37" s="829" t="n"/>
      <c r="K37" s="871">
        <f>SUM(K7:K36)</f>
        <v/>
      </c>
      <c r="L37" s="871">
        <f>SUM(L7:L36)</f>
        <v/>
      </c>
      <c r="M37" s="871">
        <f>SUM(M7:M36)</f>
        <v/>
      </c>
      <c r="N37" s="829" t="n"/>
      <c r="O37" s="829" t="n"/>
      <c r="P37" s="829" t="n"/>
      <c r="Q37" s="829" t="n"/>
    </row>
    <row r="38" ht="14" customHeight="1" s="549">
      <c r="A38" s="686" t="inlineStr">
        <is>
          <t>Saldo final mes:</t>
        </is>
      </c>
      <c r="B38" s="686" t="n"/>
      <c r="C38" s="686" t="n"/>
      <c r="D38" s="868">
        <f>L4-M37</f>
        <v/>
      </c>
      <c r="E38" s="686" t="inlineStr">
        <is>
          <t>Total rendido mes:</t>
        </is>
      </c>
      <c r="F38" s="686" t="n"/>
      <c r="G38" s="686" t="n"/>
      <c r="H38" s="868">
        <f>M37</f>
        <v/>
      </c>
      <c r="I38" s="686" t="inlineStr">
        <is>
          <t>% rendido acum. [INGRESAR]:</t>
        </is>
      </c>
      <c r="J38" s="686" t="n"/>
      <c r="K38" s="686" t="n"/>
      <c r="L38" s="875" t="n">
        <v>0</v>
      </c>
      <c r="M38" s="686" t="n"/>
      <c r="N38" s="686" t="n"/>
      <c r="O38" s="686" t="n"/>
      <c r="P38" s="686" t="n"/>
      <c r="Q38" s="686" t="n"/>
    </row>
    <row r="39" ht="14" customHeight="1" s="549">
      <c r="A39" s="694" t="inlineStr">
        <is>
          <t>INSTRUCCIONES: (1) Ingresar una fila por documento. (2) Glosa debe coincidir exactamente con SISREC. (3) Adjuntar en SISREC: factura electrónica + comprobante pago bancario + acta recepción conforme (equipos) / boleta honorarios + retención (personal). (4) Fecha documento = fecha de emisión. Fecha pago = fecha transferencia bancaria. (5) N° OC Mercado Público es obligatorio para compras &gt; 3 UTM. Plazo: 15 días hábiles desde fin de mes.</t>
        </is>
      </c>
      <c r="B39" s="681" t="n"/>
      <c r="C39" s="681" t="n"/>
      <c r="D39" s="681" t="n"/>
      <c r="E39" s="681" t="n"/>
      <c r="F39" s="681" t="n"/>
      <c r="G39" s="681" t="n"/>
      <c r="H39" s="681" t="n"/>
      <c r="I39" s="681" t="n"/>
      <c r="J39" s="681" t="n"/>
      <c r="K39" s="681" t="n"/>
      <c r="L39" s="681" t="n"/>
      <c r="M39" s="681" t="n"/>
      <c r="N39" s="681" t="n"/>
      <c r="O39" s="681" t="n"/>
      <c r="P39" s="681" t="n"/>
      <c r="Q39" s="681" t="n"/>
    </row>
    <row r="40" ht="14" customHeight="1" s="549">
      <c r="A40" s="757" t="inlineStr">
        <is>
          <t>REFERENCIA DE GLOSAS ESTÁNDAR PARA SISREC — Copiar textualmente en columna G</t>
        </is>
      </c>
      <c r="B40" s="686" t="n"/>
      <c r="C40" s="686" t="n"/>
      <c r="D40" s="686" t="n"/>
      <c r="E40" s="686" t="n"/>
      <c r="F40" s="686" t="n"/>
      <c r="G40" s="686" t="n"/>
      <c r="H40" s="686" t="n"/>
      <c r="I40" s="686" t="n"/>
      <c r="J40" s="686" t="n"/>
      <c r="K40" s="686" t="n"/>
      <c r="L40" s="686" t="n"/>
      <c r="M40" s="686" t="n"/>
      <c r="N40" s="686" t="n"/>
      <c r="O40" s="686" t="n"/>
      <c r="P40" s="686" t="n"/>
      <c r="Q40" s="686" t="n"/>
    </row>
    <row r="41" ht="14" customHeight="1" s="549">
      <c r="A41" s="733" t="inlineStr">
        <is>
          <t>Ítem</t>
        </is>
      </c>
      <c r="B41" s="733" t="inlineStr">
        <is>
          <t>Cód. Analítica</t>
        </is>
      </c>
      <c r="C41" s="733" t="inlineStr">
        <is>
          <t>Subtít.</t>
        </is>
      </c>
      <c r="D41" s="733" t="inlineStr">
        <is>
          <t>Tipo Doc.</t>
        </is>
      </c>
      <c r="E41" s="733" t="inlineStr">
        <is>
          <t>Glosa estándar SISREC</t>
        </is>
      </c>
      <c r="F41" s="681" t="n"/>
      <c r="G41" s="681" t="n"/>
      <c r="H41" s="681" t="n"/>
      <c r="I41" s="681" t="n"/>
      <c r="J41" s="681" t="n"/>
      <c r="K41" s="681" t="n"/>
      <c r="L41" s="681" t="n"/>
      <c r="M41" s="681" t="n"/>
      <c r="N41" s="681" t="n"/>
      <c r="O41" s="681" t="n"/>
      <c r="P41" s="681" t="n"/>
      <c r="Q41" s="681" t="n"/>
    </row>
    <row r="42" ht="14" customHeight="1" s="549">
      <c r="A42" s="757" t="inlineStr">
        <is>
          <t>1.1 Sistemas AC</t>
        </is>
      </c>
      <c r="B42" s="757" t="inlineStr">
        <is>
          <t>21.1</t>
        </is>
      </c>
      <c r="C42" s="757" t="inlineStr">
        <is>
          <t>33</t>
        </is>
      </c>
      <c r="D42" s="757" t="inlineStr">
        <is>
          <t>Factura</t>
        </is>
      </c>
      <c r="E42" s="693" t="inlineStr">
        <is>
          <t>Adquisición kit sistema fotovoltaico domiciliario [N° unidades] un. · Proyecto Luz en Casa GORE Coquimbo · OC N°[XXXX]</t>
        </is>
      </c>
      <c r="F42" s="686" t="n"/>
      <c r="G42" s="686" t="n"/>
      <c r="H42" s="686" t="n"/>
      <c r="I42" s="686" t="n"/>
      <c r="J42" s="686" t="n"/>
      <c r="K42" s="686" t="n"/>
      <c r="L42" s="757" t="inlineStr">
        <is>
          <t>SÍ (&gt;3 UTM)</t>
        </is>
      </c>
      <c r="M42" s="686" t="n"/>
      <c r="N42" s="686" t="n"/>
      <c r="O42" s="693" t="inlineStr">
        <is>
          <t>Factura + Guía despacho + Acta Recepción Conforme + Inventario</t>
        </is>
      </c>
      <c r="P42" s="686" t="n"/>
      <c r="Q42" s="686" t="n"/>
    </row>
    <row r="43" ht="14" customHeight="1" s="549">
      <c r="A43" s="730" t="inlineStr">
        <is>
          <t>1.2 Paneles</t>
        </is>
      </c>
      <c r="B43" s="730" t="inlineStr">
        <is>
          <t>21.1</t>
        </is>
      </c>
      <c r="C43" s="730" t="inlineStr">
        <is>
          <t>33</t>
        </is>
      </c>
      <c r="D43" s="730" t="inlineStr">
        <is>
          <t>Factura</t>
        </is>
      </c>
      <c r="E43" s="694" t="inlineStr">
        <is>
          <t>Adquisición paneles solares FV [N° unidades] un. · incluido en kit sistema AC · OC N°[XXXX]</t>
        </is>
      </c>
      <c r="F43" s="681" t="n"/>
      <c r="G43" s="681" t="n"/>
      <c r="H43" s="681" t="n"/>
      <c r="I43" s="681" t="n"/>
      <c r="J43" s="681" t="n"/>
      <c r="K43" s="681" t="n"/>
      <c r="L43" s="730" t="inlineStr">
        <is>
          <t>SÍ</t>
        </is>
      </c>
      <c r="M43" s="681" t="n"/>
      <c r="N43" s="681" t="n"/>
      <c r="O43" s="694" t="inlineStr">
        <is>
          <t>Incluido en OC principal · desglose en factura</t>
        </is>
      </c>
      <c r="P43" s="681" t="n"/>
      <c r="Q43" s="681" t="n"/>
    </row>
    <row r="44" ht="14" customHeight="1" s="549">
      <c r="A44" s="757" t="inlineStr">
        <is>
          <t>1.7 Flete</t>
        </is>
      </c>
      <c r="B44" s="757" t="inlineStr">
        <is>
          <t>25.7</t>
        </is>
      </c>
      <c r="C44" s="757" t="inlineStr">
        <is>
          <t>33</t>
        </is>
      </c>
      <c r="D44" s="757" t="inlineStr">
        <is>
          <t>Factura</t>
        </is>
      </c>
      <c r="E44" s="693" t="inlineStr">
        <is>
          <t>Flete/traslado equipos fotovoltaicos origen-destino Coquimbo · [descripción carga] · OC N°[XXXX] o cotización</t>
        </is>
      </c>
      <c r="F44" s="686" t="n"/>
      <c r="G44" s="686" t="n"/>
      <c r="H44" s="686" t="n"/>
      <c r="I44" s="686" t="n"/>
      <c r="J44" s="686" t="n"/>
      <c r="K44" s="686" t="n"/>
      <c r="L44" s="757" t="inlineStr">
        <is>
          <t>SÍ si &gt;3 UTM</t>
        </is>
      </c>
      <c r="M44" s="686" t="n"/>
      <c r="N44" s="686" t="n"/>
      <c r="O44" s="693" t="inlineStr">
        <is>
          <t>Factura + Guía despacho + Fotografías</t>
        </is>
      </c>
      <c r="P44" s="686" t="n"/>
      <c r="Q44" s="686" t="n"/>
    </row>
    <row r="45" ht="14" customHeight="1" s="549">
      <c r="A45" s="730" t="inlineStr">
        <is>
          <t>2.x Insumos</t>
        </is>
      </c>
      <c r="B45" s="730" t="inlineStr">
        <is>
          <t>23</t>
        </is>
      </c>
      <c r="C45" s="730" t="inlineStr">
        <is>
          <t>33</t>
        </is>
      </c>
      <c r="D45" s="730" t="inlineStr">
        <is>
          <t>Fact/Boleta</t>
        </is>
      </c>
      <c r="E45" s="694" t="inlineStr">
        <is>
          <t>Adquisición [materiales/herramientas] instalación sistemas FV · [N° instalaciones] kits · Proyecto Luz en Casa</t>
        </is>
      </c>
      <c r="F45" s="681" t="n"/>
      <c r="G45" s="681" t="n"/>
      <c r="H45" s="681" t="n"/>
      <c r="I45" s="681" t="n"/>
      <c r="J45" s="681" t="n"/>
      <c r="K45" s="681" t="n"/>
      <c r="L45" s="730" t="inlineStr">
        <is>
          <t>SÍ si &gt;3 UTM</t>
        </is>
      </c>
      <c r="M45" s="681" t="n"/>
      <c r="N45" s="681" t="n"/>
      <c r="O45" s="694" t="inlineStr">
        <is>
          <t>Factura o boleta + Listado materiales + Acta uso</t>
        </is>
      </c>
      <c r="P45" s="681" t="n"/>
      <c r="Q45" s="681" t="n"/>
    </row>
    <row r="46" ht="14" customHeight="1" s="549">
      <c r="A46" s="757" t="inlineStr">
        <is>
          <t>3.1 Planilla</t>
        </is>
      </c>
      <c r="B46" s="757" t="inlineStr">
        <is>
          <t>24</t>
        </is>
      </c>
      <c r="C46" s="757" t="inlineStr">
        <is>
          <t>33</t>
        </is>
      </c>
      <c r="D46" s="757" t="inlineStr">
        <is>
          <t>Costo empresa</t>
        </is>
      </c>
      <c r="E46" s="693" t="inlineStr">
        <is>
          <t>Remuneración personal instalación FV mes [MES/AÑO] · proporción proyecto Luz en Casa GORE Coquimbo</t>
        </is>
      </c>
      <c r="F46" s="686" t="n"/>
      <c r="G46" s="686" t="n"/>
      <c r="H46" s="686" t="n"/>
      <c r="I46" s="686" t="n"/>
      <c r="J46" s="686" t="n"/>
      <c r="K46" s="686" t="n"/>
      <c r="L46" s="757" t="inlineStr">
        <is>
          <t>NO</t>
        </is>
      </c>
      <c r="M46" s="686" t="n"/>
      <c r="N46" s="686" t="n"/>
      <c r="O46" s="693" t="inlineStr">
        <is>
          <t>Liquidación + Cotización AFP/ISAPRE + Comprobante pago previsión</t>
        </is>
      </c>
      <c r="P46" s="686" t="n"/>
      <c r="Q46" s="686" t="n"/>
    </row>
    <row r="47" ht="14" customHeight="1" s="549">
      <c r="A47" s="730" t="inlineStr">
        <is>
          <t>4.x Honorarios</t>
        </is>
      </c>
      <c r="B47" s="730" t="inlineStr">
        <is>
          <t>25.6</t>
        </is>
      </c>
      <c r="C47" s="730" t="inlineStr">
        <is>
          <t>33</t>
        </is>
      </c>
      <c r="D47" s="730" t="inlineStr">
        <is>
          <t>Boleta honor.</t>
        </is>
      </c>
      <c r="E47" s="694" t="inlineStr">
        <is>
          <t>Honorarios [cargo/función] proyecto Luz en Casa GORE Coquimbo · mes [MES/AÑO] · [nombre persona]</t>
        </is>
      </c>
      <c r="F47" s="681" t="n"/>
      <c r="G47" s="681" t="n"/>
      <c r="H47" s="681" t="n"/>
      <c r="I47" s="681" t="n"/>
      <c r="J47" s="681" t="n"/>
      <c r="K47" s="681" t="n"/>
      <c r="L47" s="730" t="inlineStr">
        <is>
          <t>NO</t>
        </is>
      </c>
      <c r="M47" s="681" t="n"/>
      <c r="N47" s="681" t="n"/>
      <c r="O47" s="694" t="inlineStr">
        <is>
          <t>Boleta honorarios + Comprobante retención 10.75% + Transferencia bancaria</t>
        </is>
      </c>
      <c r="P47" s="681" t="n"/>
      <c r="Q47" s="681" t="n"/>
    </row>
    <row r="48" ht="14" customHeight="1" s="549">
      <c r="A48" s="757" t="inlineStr">
        <is>
          <t>5-6 Arriendo veh.</t>
        </is>
      </c>
      <c r="B48" s="757" t="inlineStr">
        <is>
          <t>25.1</t>
        </is>
      </c>
      <c r="C48" s="757" t="inlineStr">
        <is>
          <t>33</t>
        </is>
      </c>
      <c r="D48" s="757" t="inlineStr">
        <is>
          <t>Factura</t>
        </is>
      </c>
      <c r="E48" s="693" t="inlineStr">
        <is>
          <t>Arriendo vehículo [patente] [tarifa diaria/mensual] proyecto Luz en Casa · mes [MES/AÑO] · [N° días]</t>
        </is>
      </c>
      <c r="F48" s="686" t="n"/>
      <c r="G48" s="686" t="n"/>
      <c r="H48" s="686" t="n"/>
      <c r="I48" s="686" t="n"/>
      <c r="J48" s="686" t="n"/>
      <c r="K48" s="686" t="n"/>
      <c r="L48" s="757" t="inlineStr">
        <is>
          <t>SÍ si &gt;3 UTM</t>
        </is>
      </c>
      <c r="M48" s="686" t="n"/>
      <c r="N48" s="686" t="n"/>
      <c r="O48" s="693" t="inlineStr">
        <is>
          <t>Contrato + Factura + Bitácora uso (km, conductor, destino)</t>
        </is>
      </c>
      <c r="P48" s="686" t="n"/>
      <c r="Q48" s="686" t="n"/>
    </row>
    <row r="49" ht="14" customHeight="1" s="549">
      <c r="A49" s="730" t="inlineStr">
        <is>
          <t>7.x Transporte</t>
        </is>
      </c>
      <c r="B49" s="730" t="inlineStr">
        <is>
          <t>25.7</t>
        </is>
      </c>
      <c r="C49" s="730" t="inlineStr">
        <is>
          <t>33</t>
        </is>
      </c>
      <c r="D49" s="730" t="inlineStr">
        <is>
          <t>Factura</t>
        </is>
      </c>
      <c r="E49" s="694" t="inlineStr">
        <is>
          <t>Servicio transporte/grúa equipos FV [origen]-[destino] · [descripción] · Proyecto Luz en Casa GORE</t>
        </is>
      </c>
      <c r="F49" s="681" t="n"/>
      <c r="G49" s="681" t="n"/>
      <c r="H49" s="681" t="n"/>
      <c r="I49" s="681" t="n"/>
      <c r="J49" s="681" t="n"/>
      <c r="K49" s="681" t="n"/>
      <c r="L49" s="730" t="inlineStr">
        <is>
          <t>SÍ si &gt;3 UTM</t>
        </is>
      </c>
      <c r="M49" s="681" t="n"/>
      <c r="N49" s="681" t="n"/>
      <c r="O49" s="694" t="inlineStr">
        <is>
          <t>Factura + Guía despacho + Fotografías carga/descarga</t>
        </is>
      </c>
      <c r="P49" s="681" t="n"/>
      <c r="Q49" s="681" t="n"/>
    </row>
    <row r="50" ht="14" customHeight="1" s="549">
      <c r="A50" s="757" t="inlineStr">
        <is>
          <t>8-9 Viajes</t>
        </is>
      </c>
      <c r="B50" s="757" t="inlineStr">
        <is>
          <t>25.13</t>
        </is>
      </c>
      <c r="C50" s="757" t="inlineStr">
        <is>
          <t>33</t>
        </is>
      </c>
      <c r="D50" s="757" t="inlineStr">
        <is>
          <t>Boleta/Fact.</t>
        </is>
      </c>
      <c r="E50" s="693" t="inlineStr">
        <is>
          <t>Gastos desplazamiento equipo [RRCC/técnico] región Coquimbo · [descripción viaje] · Proyecto Luz en Casa</t>
        </is>
      </c>
      <c r="F50" s="686" t="n"/>
      <c r="G50" s="686" t="n"/>
      <c r="H50" s="686" t="n"/>
      <c r="I50" s="686" t="n"/>
      <c r="J50" s="686" t="n"/>
      <c r="K50" s="686" t="n"/>
      <c r="L50" s="757" t="inlineStr">
        <is>
          <t>NO</t>
        </is>
      </c>
      <c r="M50" s="686" t="n"/>
      <c r="N50" s="686" t="n"/>
      <c r="O50" s="693" t="inlineStr">
        <is>
          <t>Pasajes + Boletas bencina/peaje + Comprobante alojamiento + Autorización</t>
        </is>
      </c>
      <c r="P50" s="686" t="n"/>
      <c r="Q50" s="686" t="n"/>
    </row>
    <row r="51" ht="14" customHeight="1" s="549">
      <c r="A51" s="730" t="inlineStr">
        <is>
          <t>10.x Varios</t>
        </is>
      </c>
      <c r="B51" s="730" t="inlineStr">
        <is>
          <t>25.14</t>
        </is>
      </c>
      <c r="C51" s="730" t="inlineStr">
        <is>
          <t>33</t>
        </is>
      </c>
      <c r="D51" s="730" t="inlineStr">
        <is>
          <t>Boleta/Fact.</t>
        </is>
      </c>
      <c r="E51" s="694" t="inlineStr">
        <is>
          <t>Gasto varios [descripción específica] · Proyecto Luz en Casa GORE Coquimbo · mes [MES/AÑO]</t>
        </is>
      </c>
      <c r="F51" s="681" t="n"/>
      <c r="G51" s="681" t="n"/>
      <c r="H51" s="681" t="n"/>
      <c r="I51" s="681" t="n"/>
      <c r="J51" s="681" t="n"/>
      <c r="K51" s="681" t="n"/>
      <c r="L51" s="730" t="inlineStr">
        <is>
          <t>NO</t>
        </is>
      </c>
      <c r="M51" s="681" t="n"/>
      <c r="N51" s="681" t="n"/>
      <c r="O51" s="694" t="inlineStr">
        <is>
          <t>Boleta o factura + Evidencia bien/servicio recibido</t>
        </is>
      </c>
      <c r="P51" s="681" t="n"/>
      <c r="Q51" s="681" t="n"/>
    </row>
  </sheetData>
  <mergeCells count="49">
    <mergeCell ref="E45:K45"/>
    <mergeCell ref="O49:Q49"/>
    <mergeCell ref="A40:Q40"/>
    <mergeCell ref="L42:N42"/>
    <mergeCell ref="O41:Q41"/>
    <mergeCell ref="A39:Q39"/>
    <mergeCell ref="O44:Q44"/>
    <mergeCell ref="L45:N45"/>
    <mergeCell ref="L51:N51"/>
    <mergeCell ref="E41:K41"/>
    <mergeCell ref="O43:Q43"/>
    <mergeCell ref="A1:Q1"/>
    <mergeCell ref="O50:Q50"/>
    <mergeCell ref="E47:K47"/>
    <mergeCell ref="O51:Q51"/>
    <mergeCell ref="L41:N41"/>
    <mergeCell ref="O46:Q46"/>
    <mergeCell ref="L50:N50"/>
    <mergeCell ref="O47:Q47"/>
    <mergeCell ref="L44:N44"/>
    <mergeCell ref="O42:Q42"/>
    <mergeCell ref="E43:K43"/>
    <mergeCell ref="E50:K50"/>
    <mergeCell ref="I4:K4"/>
    <mergeCell ref="A4:C4"/>
    <mergeCell ref="E42:K42"/>
    <mergeCell ref="O48:Q48"/>
    <mergeCell ref="A38:C38"/>
    <mergeCell ref="I38:K38"/>
    <mergeCell ref="L49:N49"/>
    <mergeCell ref="L46:N46"/>
    <mergeCell ref="E48:K48"/>
    <mergeCell ref="F3:I3"/>
    <mergeCell ref="E44:K44"/>
    <mergeCell ref="A2:Q2"/>
    <mergeCell ref="E51:K51"/>
    <mergeCell ref="K3:M3"/>
    <mergeCell ref="L48:N48"/>
    <mergeCell ref="O3:Q3"/>
    <mergeCell ref="A5:Q5"/>
    <mergeCell ref="B3:D3"/>
    <mergeCell ref="A37:J37"/>
    <mergeCell ref="L47:N47"/>
    <mergeCell ref="E4:G4"/>
    <mergeCell ref="O45:Q45"/>
    <mergeCell ref="L43:N43"/>
    <mergeCell ref="E46:K46"/>
    <mergeCell ref="E49:K49"/>
    <mergeCell ref="E38:G38"/>
  </mergeCells>
  <pageMargins left="0.75" right="0.75" top="1" bottom="1" header="0.511811023622047" footer="0.511811023622047"/>
  <pageSetup orientation="landscape" horizontalDpi="300" verticalDpi="300"/>
</worksheet>
</file>

<file path=xl/worksheets/sheet17.xml><?xml version="1.0" encoding="utf-8"?>
<worksheet xmlns="http://schemas.openxmlformats.org/spreadsheetml/2006/main">
  <sheetPr>
    <tabColor rgb="004472C4"/>
    <outlinePr summaryBelow="1" summaryRight="1"/>
    <pageSetUpPr/>
  </sheetPr>
  <dimension ref="A1:AI52"/>
  <sheetViews>
    <sheetView showGridLines="0" zoomScale="87" zoomScaleNormal="87" workbookViewId="0">
      <selection activeCell="A1" sqref="A1"/>
    </sheetView>
  </sheetViews>
  <sheetFormatPr baseColWidth="10" defaultColWidth="11.42578125" defaultRowHeight="12" outlineLevelRow="1"/>
  <cols>
    <col width="47" customWidth="1" style="261" min="1" max="1"/>
    <col width="13" customWidth="1" style="261" min="2" max="2"/>
    <col outlineLevel="1" width="47" customWidth="1" style="261" min="3" max="14"/>
    <col width="47" customWidth="1" style="549" min="4" max="4"/>
    <col width="47" customWidth="1" style="549" min="5" max="5"/>
    <col width="47" customWidth="1" style="549" min="6" max="6"/>
    <col width="47" customWidth="1" style="549" min="7" max="7"/>
    <col width="47" customWidth="1" style="549" min="8" max="8"/>
    <col width="47" customWidth="1" style="549" min="9" max="9"/>
    <col width="47" customWidth="1" style="549" min="10" max="10"/>
    <col width="47" customWidth="1" style="549" min="11" max="11"/>
    <col width="47" customWidth="1" style="549" min="12" max="12"/>
    <col width="47" customWidth="1" style="549" min="13" max="13"/>
    <col width="47" customWidth="1" style="549" min="14" max="14"/>
    <col width="16" customWidth="1" style="261" min="15" max="27"/>
    <col width="47" customWidth="1" style="549" min="16" max="16"/>
    <col width="47" customWidth="1" style="549" min="17" max="17"/>
    <col width="47" customWidth="1" style="549" min="18" max="18"/>
    <col width="47" customWidth="1" style="549" min="19" max="19"/>
    <col width="47" customWidth="1" style="549" min="20" max="20"/>
    <col width="47" customWidth="1" style="549" min="21" max="21"/>
    <col width="47" customWidth="1" style="549" min="22" max="22"/>
    <col width="47" customWidth="1" style="549" min="23" max="23"/>
    <col width="47" customWidth="1" style="549" min="24" max="24"/>
    <col width="47" customWidth="1" style="549" min="25" max="25"/>
    <col width="47" customWidth="1" style="549" min="26" max="26"/>
    <col width="47" customWidth="1" style="549" min="27" max="27"/>
    <col width="18" customWidth="1" style="261" min="28" max="28"/>
    <col width="21" customWidth="1" style="261" min="29" max="29"/>
    <col width="14" customWidth="1" style="261" min="30" max="30"/>
    <col width="14" customWidth="1" style="261" min="31" max="31"/>
    <col width="26" customWidth="1" style="261" min="32" max="32"/>
    <col width="14" customWidth="1" style="261" min="33" max="33"/>
    <col width="10" customWidth="1" style="261" min="34" max="34"/>
    <col width="47" customWidth="1" style="261" min="35" max="35"/>
    <col width="11.42578125" customWidth="1" style="261" min="36" max="37"/>
    <col width="11.42578125" customWidth="1" style="261" min="38" max="16384"/>
  </cols>
  <sheetData>
    <row r="1" ht="20" customHeight="1" s="549">
      <c r="A1" s="746" t="inlineStr">
        <is>
          <t>CASHFLOW LOC — LUZ EN CASA · GORE COQUIMBO</t>
        </is>
      </c>
    </row>
    <row r="2" ht="24" customHeight="1" s="549">
      <c r="A2" s="830" t="n"/>
      <c r="B2" s="830" t="inlineStr">
        <is>
          <t>PAÍS:</t>
        </is>
      </c>
      <c r="C2" s="747">
        <f>#NAME?</f>
        <v/>
      </c>
      <c r="D2" s="747" t="n"/>
      <c r="E2" s="747" t="n"/>
      <c r="F2" s="747" t="n"/>
      <c r="G2" s="747" t="n"/>
      <c r="H2" s="747" t="n"/>
      <c r="I2" s="747" t="n"/>
      <c r="J2" s="747" t="n"/>
      <c r="K2" s="830" t="n"/>
      <c r="L2" s="747" t="n"/>
      <c r="M2" s="747" t="n"/>
      <c r="N2" s="747" t="n"/>
      <c r="O2" s="747" t="n"/>
      <c r="P2" s="747" t="n"/>
      <c r="Q2" s="747" t="n"/>
      <c r="R2" s="747" t="n"/>
      <c r="S2" s="747" t="n"/>
      <c r="T2" s="747" t="n"/>
      <c r="U2" s="747" t="n"/>
      <c r="V2" s="747" t="n"/>
      <c r="W2" s="747" t="n"/>
      <c r="X2" s="747" t="n"/>
      <c r="Y2" s="747" t="n"/>
      <c r="Z2" s="747" t="n"/>
      <c r="AA2" s="747" t="n"/>
      <c r="AB2" s="747" t="n"/>
      <c r="AC2" s="747" t="n"/>
      <c r="AD2" s="747" t="n"/>
      <c r="AE2" s="747" t="n"/>
      <c r="AF2" s="747" t="n"/>
      <c r="AG2" s="747" t="n"/>
      <c r="AH2" s="747" t="n"/>
      <c r="AI2" s="747" t="n"/>
    </row>
    <row r="3" ht="14" customHeight="1" s="549">
      <c r="A3" s="831" t="n"/>
      <c r="B3" s="831" t="inlineStr">
        <is>
          <t>DATO:</t>
        </is>
      </c>
      <c r="C3" s="832">
        <f>#NAME?</f>
        <v/>
      </c>
      <c r="D3" s="681" t="n"/>
      <c r="E3" s="681" t="n"/>
      <c r="F3" s="681" t="n"/>
      <c r="G3" s="681" t="n"/>
      <c r="H3" s="681" t="n"/>
      <c r="I3" s="681" t="n"/>
      <c r="J3" s="681" t="n"/>
      <c r="K3" s="831" t="n"/>
      <c r="L3" s="681" t="n"/>
      <c r="M3" s="681" t="n"/>
      <c r="N3" s="681" t="n"/>
      <c r="O3" s="681" t="n"/>
      <c r="P3" s="681" t="n"/>
      <c r="Q3" s="681" t="n"/>
      <c r="R3" s="681" t="n"/>
      <c r="S3" s="681" t="n"/>
      <c r="T3" s="681" t="n"/>
      <c r="U3" s="681" t="n"/>
      <c r="V3" s="681" t="n"/>
      <c r="W3" s="681" t="n"/>
      <c r="X3" s="681" t="n"/>
      <c r="Y3" s="681" t="n"/>
      <c r="Z3" s="681" t="n"/>
      <c r="AA3" s="681" t="n"/>
      <c r="AB3" s="681" t="n"/>
      <c r="AC3" s="681" t="n"/>
      <c r="AD3" s="681" t="n"/>
      <c r="AE3" s="681" t="n"/>
      <c r="AF3" s="681" t="n"/>
      <c r="AG3" s="681" t="n"/>
      <c r="AH3" s="681" t="n"/>
      <c r="AI3" s="681" t="n"/>
    </row>
    <row r="4" ht="14" customHeight="1" s="549">
      <c r="A4" s="833" t="n"/>
      <c r="B4" s="834" t="inlineStr">
        <is>
          <t>CTRO COSTE</t>
        </is>
      </c>
      <c r="C4" s="835" t="inlineStr">
        <is>
          <t>18 - Luz en Casa IV</t>
        </is>
      </c>
      <c r="D4" s="686" t="n"/>
      <c r="E4" s="686" t="n"/>
      <c r="F4" s="686" t="n"/>
      <c r="G4" s="686" t="n"/>
      <c r="H4" s="686" t="n"/>
      <c r="I4" s="686" t="n"/>
      <c r="J4" s="686" t="n"/>
      <c r="K4" s="686" t="n"/>
      <c r="L4" s="686" t="n"/>
      <c r="M4" s="686" t="n"/>
      <c r="N4" s="686" t="n"/>
      <c r="O4" s="686" t="n"/>
      <c r="P4" s="686" t="n"/>
      <c r="Q4" s="686" t="n"/>
      <c r="R4" s="686" t="n"/>
      <c r="S4" s="686" t="n"/>
      <c r="T4" s="686" t="n"/>
      <c r="U4" s="686" t="n"/>
      <c r="V4" s="686" t="n"/>
      <c r="W4" s="686" t="n"/>
      <c r="X4" s="686" t="n"/>
      <c r="Y4" s="686" t="n"/>
      <c r="Z4" s="686" t="n"/>
      <c r="AA4" s="686" t="n"/>
      <c r="AB4" s="686" t="n"/>
      <c r="AC4" s="686" t="n"/>
      <c r="AD4" s="686" t="n"/>
      <c r="AE4" s="686" t="n"/>
      <c r="AF4" s="686" t="n"/>
      <c r="AG4" s="686" t="n"/>
      <c r="AH4" s="686" t="n"/>
      <c r="AI4" s="686" t="n"/>
    </row>
    <row r="5" ht="14" customHeight="1" s="549">
      <c r="A5" s="681" t="n"/>
      <c r="B5" s="681" t="n"/>
      <c r="C5" s="681" t="n"/>
      <c r="D5" s="681" t="n"/>
      <c r="E5" s="681" t="n"/>
      <c r="F5" s="681" t="n"/>
      <c r="G5" s="681" t="n"/>
      <c r="H5" s="681" t="n"/>
      <c r="I5" s="681" t="n"/>
      <c r="J5" s="681" t="n"/>
      <c r="K5" s="681" t="n"/>
      <c r="L5" s="681" t="n"/>
      <c r="M5" s="681" t="n"/>
      <c r="N5" s="681" t="n"/>
      <c r="O5" s="681" t="n"/>
      <c r="P5" s="681" t="n"/>
      <c r="Q5" s="681" t="n"/>
      <c r="R5" s="681" t="n"/>
      <c r="S5" s="681" t="n"/>
      <c r="T5" s="681" t="n"/>
      <c r="U5" s="681" t="n"/>
      <c r="V5" s="681" t="n"/>
      <c r="W5" s="681" t="n"/>
      <c r="X5" s="681" t="n"/>
      <c r="Y5" s="681" t="n"/>
      <c r="Z5" s="681" t="n"/>
      <c r="AA5" s="681" t="n"/>
      <c r="AB5" s="681" t="n"/>
      <c r="AC5" s="823">
        <f>#NAME?</f>
        <v/>
      </c>
      <c r="AD5" s="860">
        <f>#NAME?</f>
        <v/>
      </c>
      <c r="AE5" s="831" t="n"/>
      <c r="AF5" s="831" t="n"/>
      <c r="AG5" s="681" t="n"/>
      <c r="AH5" s="681" t="n"/>
      <c r="AI5" s="681" t="n"/>
    </row>
    <row r="6" ht="14" customHeight="1" s="549">
      <c r="A6" s="837" t="inlineStr">
        <is>
          <t>CASHFLOW LOC</t>
        </is>
      </c>
      <c r="B6" s="836" t="inlineStr">
        <is>
          <t>TOTAL</t>
        </is>
      </c>
      <c r="C6" s="876" t="n">
        <v>2026</v>
      </c>
      <c r="D6" s="834" t="n"/>
      <c r="E6" s="834" t="n"/>
      <c r="F6" s="834" t="n"/>
      <c r="G6" s="834" t="n"/>
      <c r="H6" s="834" t="n"/>
      <c r="I6" s="834" t="n"/>
      <c r="J6" s="834" t="n"/>
      <c r="K6" s="834" t="n"/>
      <c r="L6" s="834" t="n"/>
      <c r="M6" s="834" t="n"/>
      <c r="N6" s="834" t="n"/>
      <c r="O6" s="820">
        <f>#NAME?</f>
        <v/>
      </c>
      <c r="P6" s="876" t="n">
        <v>2027</v>
      </c>
      <c r="Q6" s="834" t="n"/>
      <c r="R6" s="834" t="n"/>
      <c r="S6" s="834" t="n"/>
      <c r="T6" s="834" t="n"/>
      <c r="U6" s="834" t="n"/>
      <c r="V6" s="834" t="n"/>
      <c r="W6" s="834" t="n"/>
      <c r="X6" s="834" t="n"/>
      <c r="Y6" s="834" t="n"/>
      <c r="Z6" s="834" t="n"/>
      <c r="AA6" s="834" t="n"/>
      <c r="AB6" s="820" t="inlineStr">
        <is>
          <t>TOTAL</t>
        </is>
      </c>
      <c r="AC6" s="820">
        <f>#NAME?</f>
        <v/>
      </c>
      <c r="AD6" s="820">
        <f>#NAME?</f>
        <v/>
      </c>
      <c r="AE6" s="820">
        <f>#NAME?</f>
        <v/>
      </c>
      <c r="AF6" s="820">
        <f>#NAME?</f>
        <v/>
      </c>
      <c r="AG6" s="686" t="n"/>
      <c r="AH6" s="686" t="n"/>
      <c r="AI6" s="686" t="n"/>
    </row>
    <row r="7" ht="14" customFormat="1" customHeight="1" s="844">
      <c r="A7" s="831" t="n"/>
      <c r="B7" s="840" t="inlineStr">
        <is>
          <t>ANTERIOR</t>
        </is>
      </c>
      <c r="C7" s="843">
        <f>#NAME?</f>
        <v/>
      </c>
      <c r="D7" s="843">
        <f>#NAME?</f>
        <v/>
      </c>
      <c r="E7" s="843">
        <f>#NAME?</f>
        <v/>
      </c>
      <c r="F7" s="843">
        <f>#NAME?</f>
        <v/>
      </c>
      <c r="G7" s="843">
        <f>#NAME?</f>
        <v/>
      </c>
      <c r="H7" s="843">
        <f>#NAME?</f>
        <v/>
      </c>
      <c r="I7" s="843">
        <f>#NAME?</f>
        <v/>
      </c>
      <c r="J7" s="843">
        <f>#NAME?</f>
        <v/>
      </c>
      <c r="K7" s="843">
        <f>#NAME?</f>
        <v/>
      </c>
      <c r="L7" s="843">
        <f>#NAME?</f>
        <v/>
      </c>
      <c r="M7" s="843">
        <f>#NAME?</f>
        <v/>
      </c>
      <c r="N7" s="843">
        <f>#NAME?</f>
        <v/>
      </c>
      <c r="O7" s="843">
        <f>#NAME?</f>
        <v/>
      </c>
      <c r="P7" s="841" t="n">
        <v>46388</v>
      </c>
      <c r="Q7" s="841" t="n">
        <v>46419</v>
      </c>
      <c r="R7" s="841" t="n">
        <v>46447</v>
      </c>
      <c r="S7" s="841" t="n">
        <v>46478</v>
      </c>
      <c r="T7" s="841" t="n">
        <v>46508</v>
      </c>
      <c r="U7" s="841" t="n">
        <v>46539</v>
      </c>
      <c r="V7" s="841" t="n">
        <v>46569</v>
      </c>
      <c r="W7" s="841" t="n">
        <v>46600</v>
      </c>
      <c r="X7" s="841" t="n">
        <v>46631</v>
      </c>
      <c r="Y7" s="841" t="n">
        <v>46661</v>
      </c>
      <c r="Z7" s="841" t="n">
        <v>46692</v>
      </c>
      <c r="AA7" s="841" t="n">
        <v>46722</v>
      </c>
      <c r="AB7" s="843">
        <f>#NAME?</f>
        <v/>
      </c>
      <c r="AC7" s="843">
        <f>#NAME?</f>
        <v/>
      </c>
      <c r="AD7" s="843">
        <f>#NAME?</f>
        <v/>
      </c>
      <c r="AE7" s="843">
        <f>#NAME?</f>
        <v/>
      </c>
      <c r="AF7" s="843">
        <f>#NAME?</f>
        <v/>
      </c>
      <c r="AG7" s="681" t="n"/>
      <c r="AH7" s="681" t="n"/>
      <c r="AI7" s="681" t="n"/>
    </row>
    <row r="8" ht="14" customFormat="1" customHeight="1" s="838">
      <c r="A8" s="845" t="inlineStr">
        <is>
          <t xml:space="preserve">    7. COBROS DE PROYECTOS</t>
        </is>
      </c>
      <c r="B8" s="848" t="n"/>
      <c r="C8" s="848">
        <f>SUM(C8:C8)</f>
        <v/>
      </c>
      <c r="D8" s="848">
        <f>SUM(D8:D8)</f>
        <v/>
      </c>
      <c r="E8" s="848">
        <f>SUM(E8:E8)</f>
        <v/>
      </c>
      <c r="F8" s="848">
        <f>SUM(F8:F8)</f>
        <v/>
      </c>
      <c r="G8" s="848">
        <f>SUM(G8:G8)</f>
        <v/>
      </c>
      <c r="H8" s="848">
        <f>SUM(H8:H8)</f>
        <v/>
      </c>
      <c r="I8" s="848">
        <f>SUM(I8:I8)</f>
        <v/>
      </c>
      <c r="J8" s="848">
        <f>SUM(J8:J8)</f>
        <v/>
      </c>
      <c r="K8" s="848">
        <f>SUM(K8:K8)</f>
        <v/>
      </c>
      <c r="L8" s="848">
        <f>SUM(L8:L8)</f>
        <v/>
      </c>
      <c r="M8" s="848">
        <f>SUM(M8:M8)</f>
        <v/>
      </c>
      <c r="N8" s="848">
        <f>SUM(N8:N8)</f>
        <v/>
      </c>
      <c r="O8" s="848">
        <f>+SUM(C7:N7)</f>
        <v/>
      </c>
      <c r="P8" s="848">
        <f>SUM(P8:P8)</f>
        <v/>
      </c>
      <c r="Q8" s="848">
        <f>SUM(Q8:Q8)</f>
        <v/>
      </c>
      <c r="R8" s="848">
        <f>SUM(R8:R8)</f>
        <v/>
      </c>
      <c r="S8" s="848">
        <f>SUM(S8:S8)</f>
        <v/>
      </c>
      <c r="T8" s="848">
        <f>SUM(T8:T8)</f>
        <v/>
      </c>
      <c r="U8" s="848">
        <f>SUM(U8:U8)</f>
        <v/>
      </c>
      <c r="V8" s="848">
        <f>SUM(V8:V8)</f>
        <v/>
      </c>
      <c r="W8" s="848">
        <f>SUM(W8:W8)</f>
        <v/>
      </c>
      <c r="X8" s="848">
        <f>SUM(X8:X8)</f>
        <v/>
      </c>
      <c r="Y8" s="848">
        <f>SUM(Y8:Y8)</f>
        <v/>
      </c>
      <c r="Z8" s="848">
        <f>SUM(Z8:Z8)</f>
        <v/>
      </c>
      <c r="AA8" s="848">
        <f>SUM(AA8:AA8)</f>
        <v/>
      </c>
      <c r="AB8" s="848">
        <f>SUM(AB8:AB8)</f>
        <v/>
      </c>
      <c r="AC8" s="848">
        <f>SUM(AC8:AC8)</f>
        <v/>
      </c>
      <c r="AD8" s="848" t="n"/>
      <c r="AE8" s="848">
        <f>+AC7-AD7</f>
        <v/>
      </c>
      <c r="AF8" s="853">
        <f>IF(AE7&lt;&gt;0,AE7/AD7,0)</f>
        <v/>
      </c>
      <c r="AG8" s="686" t="n"/>
      <c r="AH8" s="686" t="n"/>
      <c r="AI8" s="686" t="n"/>
    </row>
    <row r="9" ht="14" customFormat="1" customHeight="1" s="844">
      <c r="A9" s="839" t="inlineStr">
        <is>
          <t xml:space="preserve">            a) Otros cobros</t>
        </is>
      </c>
      <c r="B9" s="851" t="n"/>
      <c r="C9" s="854" t="n"/>
      <c r="D9" s="854" t="n"/>
      <c r="E9" s="854" t="n"/>
      <c r="F9" s="854" t="n"/>
      <c r="G9" s="854" t="n"/>
      <c r="H9" s="854" t="n"/>
      <c r="I9" s="854" t="n"/>
      <c r="J9" s="854" t="n"/>
      <c r="K9" s="854" t="n"/>
      <c r="L9" s="854" t="n"/>
      <c r="M9" s="854" t="n"/>
      <c r="N9" s="854" t="n"/>
      <c r="O9" s="851">
        <f>+SUM(C8:N8)</f>
        <v/>
      </c>
      <c r="P9" s="854" t="n"/>
      <c r="Q9" s="854" t="n"/>
      <c r="R9" s="854" t="n"/>
      <c r="S9" s="854" t="n"/>
      <c r="T9" s="854" t="n"/>
      <c r="U9" s="854" t="n"/>
      <c r="V9" s="854" t="n"/>
      <c r="W9" s="854" t="n"/>
      <c r="X9" s="854" t="n"/>
      <c r="Y9" s="854" t="n"/>
      <c r="Z9" s="854" t="n"/>
      <c r="AA9" s="854" t="n"/>
      <c r="AB9" s="851" t="n"/>
      <c r="AC9" s="851">
        <f>+SUM(O8,B8,AB8)</f>
        <v/>
      </c>
      <c r="AD9" s="851" t="n"/>
      <c r="AE9" s="851">
        <f>+AC8-AD8</f>
        <v/>
      </c>
      <c r="AF9" s="852">
        <f>IF(AE8&lt;&gt;0,AE8/AD8,0)</f>
        <v/>
      </c>
      <c r="AG9" s="681" t="n"/>
      <c r="AH9" s="681" t="n"/>
      <c r="AI9" s="681" t="n"/>
    </row>
    <row r="10" ht="14" customFormat="1" customHeight="1" s="838">
      <c r="A10" s="845" t="inlineStr">
        <is>
          <t xml:space="preserve">    8. PAGOS DE PROYECTOS</t>
        </is>
      </c>
      <c r="B10" s="848" t="n"/>
      <c r="C10" s="848">
        <f>+SUM(C10:C18)</f>
        <v/>
      </c>
      <c r="D10" s="848">
        <f>+SUM(D10:D18)</f>
        <v/>
      </c>
      <c r="E10" s="848">
        <f>+SUM(E10:E18)</f>
        <v/>
      </c>
      <c r="F10" s="848">
        <f>+SUM(F10:F18)</f>
        <v/>
      </c>
      <c r="G10" s="848">
        <f>+SUM(G10:G18)</f>
        <v/>
      </c>
      <c r="H10" s="848">
        <f>+SUM(H10:H18)</f>
        <v/>
      </c>
      <c r="I10" s="848">
        <f>+SUM(I10:I18)</f>
        <v/>
      </c>
      <c r="J10" s="848">
        <f>+SUM(J10:J18)</f>
        <v/>
      </c>
      <c r="K10" s="848">
        <f>+SUM(K10:K18)</f>
        <v/>
      </c>
      <c r="L10" s="848">
        <f>+SUM(L10:L18)</f>
        <v/>
      </c>
      <c r="M10" s="848">
        <f>+SUM(M10:M18)</f>
        <v/>
      </c>
      <c r="N10" s="848">
        <f>+SUM(N10:N18)</f>
        <v/>
      </c>
      <c r="O10" s="848">
        <f>+SUM(C9:N9)</f>
        <v/>
      </c>
      <c r="P10" s="848">
        <f>+SUM(P10:P18)</f>
        <v/>
      </c>
      <c r="Q10" s="848">
        <f>+SUM(Q10:Q18)</f>
        <v/>
      </c>
      <c r="R10" s="848">
        <f>+SUM(R10:R18)</f>
        <v/>
      </c>
      <c r="S10" s="848">
        <f>+SUM(S10:S18)</f>
        <v/>
      </c>
      <c r="T10" s="848">
        <f>+SUM(T10:T18)</f>
        <v/>
      </c>
      <c r="U10" s="848">
        <f>+SUM(U10:U18)</f>
        <v/>
      </c>
      <c r="V10" s="848">
        <f>+SUM(V10:V18)</f>
        <v/>
      </c>
      <c r="W10" s="848">
        <f>+SUM(W10:W18)</f>
        <v/>
      </c>
      <c r="X10" s="848">
        <f>+SUM(X10:X18)</f>
        <v/>
      </c>
      <c r="Y10" s="848">
        <f>+SUM(Y10:Y18)</f>
        <v/>
      </c>
      <c r="Z10" s="848">
        <f>+SUM(Z10:Z18)</f>
        <v/>
      </c>
      <c r="AA10" s="848">
        <f>+SUM(AA10:AA18)</f>
        <v/>
      </c>
      <c r="AB10" s="848">
        <f>+SUM(AB10:AB18)</f>
        <v/>
      </c>
      <c r="AC10" s="848">
        <f>+SUM(AC10:AC18)</f>
        <v/>
      </c>
      <c r="AD10" s="848" t="n"/>
      <c r="AE10" s="848">
        <f>+AC9-AD9</f>
        <v/>
      </c>
      <c r="AF10" s="853">
        <f>IF(AE9&lt;&gt;0,AE9/AD9,0)</f>
        <v/>
      </c>
      <c r="AG10" s="686" t="n"/>
      <c r="AH10" s="686" t="n"/>
      <c r="AI10" s="686" t="n"/>
    </row>
    <row r="11" ht="14" customFormat="1" customHeight="1" s="838">
      <c r="A11" s="839" t="inlineStr">
        <is>
          <t xml:space="preserve">            a) Sueldos y salarios</t>
        </is>
      </c>
      <c r="B11" s="851" t="n"/>
      <c r="C11" s="854">
        <f>+'Flujo Bruto'!H20</f>
        <v/>
      </c>
      <c r="D11" s="854">
        <f>+'Flujo Bruto'!I20</f>
        <v/>
      </c>
      <c r="E11" s="854">
        <f>+'Flujo Bruto'!J20</f>
        <v/>
      </c>
      <c r="F11" s="854">
        <f>+'Flujo Bruto'!K20</f>
        <v/>
      </c>
      <c r="G11" s="854">
        <f>+'Flujo Bruto'!L20</f>
        <v/>
      </c>
      <c r="H11" s="854">
        <f>+'Flujo Bruto'!M20</f>
        <v/>
      </c>
      <c r="I11" s="854">
        <f>+'Flujo Bruto'!N20</f>
        <v/>
      </c>
      <c r="J11" s="854">
        <f>+'Flujo Bruto'!O20</f>
        <v/>
      </c>
      <c r="K11" s="854">
        <f>+'Flujo Bruto'!P20</f>
        <v/>
      </c>
      <c r="L11" s="854">
        <f>+'Flujo Bruto'!Q20</f>
        <v/>
      </c>
      <c r="M11" s="854">
        <f>+'Flujo Bruto'!R20</f>
        <v/>
      </c>
      <c r="N11" s="854">
        <f>+'Flujo Bruto'!S20</f>
        <v/>
      </c>
      <c r="O11" s="851">
        <f>+SUM(C10:N10)</f>
        <v/>
      </c>
      <c r="P11" s="854">
        <f>+'Flujo Bruto'!V20</f>
        <v/>
      </c>
      <c r="Q11" s="854">
        <f>+'Flujo Bruto'!W20</f>
        <v/>
      </c>
      <c r="R11" s="854">
        <f>+'Flujo Bruto'!X20</f>
        <v/>
      </c>
      <c r="S11" s="854">
        <f>+'Flujo Bruto'!Y20</f>
        <v/>
      </c>
      <c r="T11" s="854">
        <f>+'Flujo Bruto'!Z20</f>
        <v/>
      </c>
      <c r="U11" s="854">
        <f>+'Flujo Bruto'!AA20</f>
        <v/>
      </c>
      <c r="V11" s="854">
        <f>+'Flujo Bruto'!AB20</f>
        <v/>
      </c>
      <c r="W11" s="854">
        <f>+'Flujo Bruto'!AC20</f>
        <v/>
      </c>
      <c r="X11" s="854">
        <f>+'Flujo Bruto'!AD20</f>
        <v/>
      </c>
      <c r="Y11" s="854">
        <f>+'Flujo Bruto'!AE20</f>
        <v/>
      </c>
      <c r="Z11" s="854">
        <f>+'Flujo Bruto'!AF20</f>
        <v/>
      </c>
      <c r="AA11" s="854">
        <f>+'Flujo Bruto'!AG20</f>
        <v/>
      </c>
      <c r="AB11" s="851">
        <f>SUM(P10:AA10)</f>
        <v/>
      </c>
      <c r="AC11" s="851">
        <f>+SUM(O10,B10,AB10)</f>
        <v/>
      </c>
      <c r="AD11" s="851" t="n"/>
      <c r="AE11" s="851">
        <f>+AC10-AD10</f>
        <v/>
      </c>
      <c r="AF11" s="852">
        <f>IF(AE10&lt;&gt;0,AE10/AD10,0)</f>
        <v/>
      </c>
      <c r="AG11" s="857">
        <f>+AC10/$AC$9</f>
        <v/>
      </c>
      <c r="AH11" s="839" t="n"/>
      <c r="AI11" s="839" t="inlineStr">
        <is>
          <t xml:space="preserve">            a) Sueldos y salarios</t>
        </is>
      </c>
    </row>
    <row r="12" ht="14" customFormat="1" customHeight="1" s="838">
      <c r="A12" s="845" t="inlineStr">
        <is>
          <t xml:space="preserve">            b) Alquileres</t>
        </is>
      </c>
      <c r="B12" s="848" t="n"/>
      <c r="C12" s="849">
        <f>+'Flujo Bruto'!H34+'Flujo Bruto'!H35+'Flujo Bruto'!H37+'Flujo Bruto'!H38+'Flujo Bruto'!H39+'Flujo Bruto'!H40</f>
        <v/>
      </c>
      <c r="D12" s="849">
        <f>+'Flujo Bruto'!I34+'Flujo Bruto'!I35+'Flujo Bruto'!I37+'Flujo Bruto'!I38+'Flujo Bruto'!I39+'Flujo Bruto'!I40</f>
        <v/>
      </c>
      <c r="E12" s="849">
        <f>+'Flujo Bruto'!J34+'Flujo Bruto'!J35+'Flujo Bruto'!J37+'Flujo Bruto'!J38+'Flujo Bruto'!J39+'Flujo Bruto'!J40</f>
        <v/>
      </c>
      <c r="F12" s="849">
        <f>+'Flujo Bruto'!K34+'Flujo Bruto'!K35+'Flujo Bruto'!K37+'Flujo Bruto'!K38+'Flujo Bruto'!K39+'Flujo Bruto'!K40</f>
        <v/>
      </c>
      <c r="G12" s="849">
        <f>+'Flujo Bruto'!L34+'Flujo Bruto'!L35+'Flujo Bruto'!L37+'Flujo Bruto'!L38+'Flujo Bruto'!L39+'Flujo Bruto'!L40</f>
        <v/>
      </c>
      <c r="H12" s="849">
        <f>+'Flujo Bruto'!M34+'Flujo Bruto'!M35+'Flujo Bruto'!M37+'Flujo Bruto'!M38+'Flujo Bruto'!M39+'Flujo Bruto'!M40</f>
        <v/>
      </c>
      <c r="I12" s="849">
        <f>+'Flujo Bruto'!N34+'Flujo Bruto'!N35+'Flujo Bruto'!N37+'Flujo Bruto'!N38+'Flujo Bruto'!N39+'Flujo Bruto'!N40</f>
        <v/>
      </c>
      <c r="J12" s="849">
        <f>+'Flujo Bruto'!O34+'Flujo Bruto'!O35+'Flujo Bruto'!O37+'Flujo Bruto'!O38+'Flujo Bruto'!O39+'Flujo Bruto'!O40</f>
        <v/>
      </c>
      <c r="K12" s="849">
        <f>+'Flujo Bruto'!P34+'Flujo Bruto'!P35+'Flujo Bruto'!P37+'Flujo Bruto'!P38+'Flujo Bruto'!P39+'Flujo Bruto'!P40</f>
        <v/>
      </c>
      <c r="L12" s="849">
        <f>+'Flujo Bruto'!Q34+'Flujo Bruto'!Q35+'Flujo Bruto'!Q37+'Flujo Bruto'!Q38+'Flujo Bruto'!Q39+'Flujo Bruto'!Q40</f>
        <v/>
      </c>
      <c r="M12" s="849">
        <f>+'Flujo Bruto'!R34+'Flujo Bruto'!R35+'Flujo Bruto'!R37+'Flujo Bruto'!R38+'Flujo Bruto'!R39+'Flujo Bruto'!R40</f>
        <v/>
      </c>
      <c r="N12" s="849">
        <f>+'Flujo Bruto'!S34+'Flujo Bruto'!S35+'Flujo Bruto'!S37+'Flujo Bruto'!S38+'Flujo Bruto'!S39+'Flujo Bruto'!S40</f>
        <v/>
      </c>
      <c r="O12" s="848">
        <f>+SUM(C11:N11)</f>
        <v/>
      </c>
      <c r="P12" s="849">
        <f>+'Flujo Bruto'!V34+'Flujo Bruto'!V35+'Flujo Bruto'!V37+'Flujo Bruto'!V38+'Flujo Bruto'!V39+'Flujo Bruto'!V40</f>
        <v/>
      </c>
      <c r="Q12" s="849">
        <f>+'Flujo Bruto'!W34+'Flujo Bruto'!W35+'Flujo Bruto'!W37+'Flujo Bruto'!W38+'Flujo Bruto'!W39+'Flujo Bruto'!W40</f>
        <v/>
      </c>
      <c r="R12" s="849">
        <f>+'Flujo Bruto'!X34+'Flujo Bruto'!X35+'Flujo Bruto'!X37+'Flujo Bruto'!X38+'Flujo Bruto'!X39+'Flujo Bruto'!X40</f>
        <v/>
      </c>
      <c r="S12" s="849">
        <f>+'Flujo Bruto'!Y34+'Flujo Bruto'!Y35+'Flujo Bruto'!Y37+'Flujo Bruto'!Y38+'Flujo Bruto'!Y39+'Flujo Bruto'!Y40</f>
        <v/>
      </c>
      <c r="T12" s="849">
        <f>+'Flujo Bruto'!Z34+'Flujo Bruto'!Z35+'Flujo Bruto'!Z37+'Flujo Bruto'!Z38+'Flujo Bruto'!Z39+'Flujo Bruto'!Z40</f>
        <v/>
      </c>
      <c r="U12" s="849">
        <f>+'Flujo Bruto'!AA34+'Flujo Bruto'!AA35+'Flujo Bruto'!AA37+'Flujo Bruto'!AA38+'Flujo Bruto'!AA39+'Flujo Bruto'!AA40</f>
        <v/>
      </c>
      <c r="V12" s="849">
        <f>+'Flujo Bruto'!AB34+'Flujo Bruto'!AB35+'Flujo Bruto'!AB37+'Flujo Bruto'!AB38+'Flujo Bruto'!AB39+'Flujo Bruto'!AB40</f>
        <v/>
      </c>
      <c r="W12" s="849">
        <f>+'Flujo Bruto'!AC34+'Flujo Bruto'!AC35+'Flujo Bruto'!AC37+'Flujo Bruto'!AC38+'Flujo Bruto'!AC39+'Flujo Bruto'!AC40</f>
        <v/>
      </c>
      <c r="X12" s="849">
        <f>+'Flujo Bruto'!AD34+'Flujo Bruto'!AD35+'Flujo Bruto'!AD37+'Flujo Bruto'!AD38+'Flujo Bruto'!AD39+'Flujo Bruto'!AD40</f>
        <v/>
      </c>
      <c r="Y12" s="849">
        <f>+'Flujo Bruto'!AE34+'Flujo Bruto'!AE35+'Flujo Bruto'!AE37+'Flujo Bruto'!AE38+'Flujo Bruto'!AE39+'Flujo Bruto'!AE40</f>
        <v/>
      </c>
      <c r="Z12" s="849">
        <f>+'Flujo Bruto'!AF34+'Flujo Bruto'!AF35+'Flujo Bruto'!AF37+'Flujo Bruto'!AF38+'Flujo Bruto'!AF39+'Flujo Bruto'!AF40</f>
        <v/>
      </c>
      <c r="AA12" s="849">
        <f>+'Flujo Bruto'!AG34+'Flujo Bruto'!AG35+'Flujo Bruto'!AG37+'Flujo Bruto'!AG38+'Flujo Bruto'!AG39+'Flujo Bruto'!AG40</f>
        <v/>
      </c>
      <c r="AB12" s="848">
        <f>SUM(P11:AA11)</f>
        <v/>
      </c>
      <c r="AC12" s="848">
        <f>+SUM(O11,B11,AB11)</f>
        <v/>
      </c>
      <c r="AD12" s="848" t="n"/>
      <c r="AE12" s="848">
        <f>+AC11-AD11</f>
        <v/>
      </c>
      <c r="AF12" s="853">
        <f>IF(AE11&lt;&gt;0,AE11/AD11,0)</f>
        <v/>
      </c>
      <c r="AG12" s="855">
        <f>+AC11/$AC$9</f>
        <v/>
      </c>
      <c r="AH12" s="845" t="n"/>
      <c r="AI12" s="845" t="inlineStr">
        <is>
          <t xml:space="preserve">            b) Alquileres</t>
        </is>
      </c>
    </row>
    <row r="13" ht="14" customFormat="1" customHeight="1" s="838">
      <c r="A13" s="839" t="inlineStr">
        <is>
          <t xml:space="preserve">            c) Mantenimiento y reparaciones</t>
        </is>
      </c>
      <c r="B13" s="851" t="n"/>
      <c r="C13" s="854">
        <f>+'Flujo Bruto'!H11</f>
        <v/>
      </c>
      <c r="D13" s="854">
        <f>+'Flujo Bruto'!I11</f>
        <v/>
      </c>
      <c r="E13" s="854">
        <f>+'Flujo Bruto'!J11</f>
        <v/>
      </c>
      <c r="F13" s="854">
        <f>+'Flujo Bruto'!K11</f>
        <v/>
      </c>
      <c r="G13" s="854">
        <f>+'Flujo Bruto'!L11</f>
        <v/>
      </c>
      <c r="H13" s="854">
        <f>+'Flujo Bruto'!M11</f>
        <v/>
      </c>
      <c r="I13" s="854">
        <f>+'Flujo Bruto'!N11</f>
        <v/>
      </c>
      <c r="J13" s="854">
        <f>+'Flujo Bruto'!O11</f>
        <v/>
      </c>
      <c r="K13" s="854">
        <f>+'Flujo Bruto'!P11</f>
        <v/>
      </c>
      <c r="L13" s="854">
        <f>+'Flujo Bruto'!Q11</f>
        <v/>
      </c>
      <c r="M13" s="854">
        <f>+'Flujo Bruto'!R11</f>
        <v/>
      </c>
      <c r="N13" s="854">
        <f>+'Flujo Bruto'!S11</f>
        <v/>
      </c>
      <c r="O13" s="851">
        <f>+SUM(C12:N12)</f>
        <v/>
      </c>
      <c r="P13" s="854">
        <f>+'Flujo Bruto'!V11</f>
        <v/>
      </c>
      <c r="Q13" s="854">
        <f>+'Flujo Bruto'!W11</f>
        <v/>
      </c>
      <c r="R13" s="854">
        <f>+'Flujo Bruto'!X11</f>
        <v/>
      </c>
      <c r="S13" s="854">
        <f>+'Flujo Bruto'!Y11</f>
        <v/>
      </c>
      <c r="T13" s="854">
        <f>+'Flujo Bruto'!Z11</f>
        <v/>
      </c>
      <c r="U13" s="854">
        <f>+'Flujo Bruto'!AA11</f>
        <v/>
      </c>
      <c r="V13" s="854">
        <f>+'Flujo Bruto'!AB11</f>
        <v/>
      </c>
      <c r="W13" s="854">
        <f>+'Flujo Bruto'!AC11</f>
        <v/>
      </c>
      <c r="X13" s="854">
        <f>+'Flujo Bruto'!AD11</f>
        <v/>
      </c>
      <c r="Y13" s="854">
        <f>+'Flujo Bruto'!AE11</f>
        <v/>
      </c>
      <c r="Z13" s="854">
        <f>+'Flujo Bruto'!AF11</f>
        <v/>
      </c>
      <c r="AA13" s="854">
        <f>+'Flujo Bruto'!AG11</f>
        <v/>
      </c>
      <c r="AB13" s="851">
        <f>SUM(P12:AA12)</f>
        <v/>
      </c>
      <c r="AC13" s="851">
        <f>+SUM(O12,B12,AB12)</f>
        <v/>
      </c>
      <c r="AD13" s="851" t="n"/>
      <c r="AE13" s="851">
        <f>+AC12-AD12</f>
        <v/>
      </c>
      <c r="AF13" s="852">
        <f>IF(AE12&lt;&gt;0,AE12/AD12,0)</f>
        <v/>
      </c>
      <c r="AG13" s="857">
        <f>+AC12/$AC$9</f>
        <v/>
      </c>
      <c r="AH13" s="839" t="n"/>
      <c r="AI13" s="839" t="inlineStr">
        <is>
          <t xml:space="preserve">            c) Mantenimiento y reparaciones</t>
        </is>
      </c>
    </row>
    <row r="14" ht="14" customFormat="1" customHeight="1" s="838">
      <c r="A14" s="845" t="inlineStr">
        <is>
          <t xml:space="preserve">            d) Servicios profesionales</t>
        </is>
      </c>
      <c r="B14" s="848" t="n"/>
      <c r="C14" s="849">
        <f>+'Flujo Bruto'!H23</f>
        <v/>
      </c>
      <c r="D14" s="849">
        <f>+'Flujo Bruto'!I23</f>
        <v/>
      </c>
      <c r="E14" s="849">
        <f>+'Flujo Bruto'!J23</f>
        <v/>
      </c>
      <c r="F14" s="849">
        <f>+'Flujo Bruto'!K23</f>
        <v/>
      </c>
      <c r="G14" s="849">
        <f>+'Flujo Bruto'!L23</f>
        <v/>
      </c>
      <c r="H14" s="849">
        <f>+'Flujo Bruto'!M23</f>
        <v/>
      </c>
      <c r="I14" s="849">
        <f>+'Flujo Bruto'!N23</f>
        <v/>
      </c>
      <c r="J14" s="849">
        <f>+'Flujo Bruto'!O23</f>
        <v/>
      </c>
      <c r="K14" s="849">
        <f>+'Flujo Bruto'!P23</f>
        <v/>
      </c>
      <c r="L14" s="849">
        <f>+'Flujo Bruto'!Q23</f>
        <v/>
      </c>
      <c r="M14" s="849">
        <f>+'Flujo Bruto'!R23</f>
        <v/>
      </c>
      <c r="N14" s="849">
        <f>+'Flujo Bruto'!S23</f>
        <v/>
      </c>
      <c r="O14" s="848">
        <f>+SUM(C13:N13)</f>
        <v/>
      </c>
      <c r="P14" s="849">
        <f>+'Flujo Bruto'!V23</f>
        <v/>
      </c>
      <c r="Q14" s="849">
        <f>+'Flujo Bruto'!W23</f>
        <v/>
      </c>
      <c r="R14" s="849">
        <f>+'Flujo Bruto'!X23</f>
        <v/>
      </c>
      <c r="S14" s="849">
        <f>+'Flujo Bruto'!Y23</f>
        <v/>
      </c>
      <c r="T14" s="849">
        <f>+'Flujo Bruto'!Z23</f>
        <v/>
      </c>
      <c r="U14" s="849">
        <f>+'Flujo Bruto'!AA23</f>
        <v/>
      </c>
      <c r="V14" s="849">
        <f>+'Flujo Bruto'!AB23</f>
        <v/>
      </c>
      <c r="W14" s="849">
        <f>+'Flujo Bruto'!AC23</f>
        <v/>
      </c>
      <c r="X14" s="849">
        <f>+'Flujo Bruto'!AD23</f>
        <v/>
      </c>
      <c r="Y14" s="849">
        <f>+'Flujo Bruto'!AE23</f>
        <v/>
      </c>
      <c r="Z14" s="849">
        <f>+'Flujo Bruto'!AF23</f>
        <v/>
      </c>
      <c r="AA14" s="849">
        <f>+'Flujo Bruto'!AG23</f>
        <v/>
      </c>
      <c r="AB14" s="848">
        <f>SUM(P13:AA13)</f>
        <v/>
      </c>
      <c r="AC14" s="848">
        <f>+SUM(O13,B13,AB13)</f>
        <v/>
      </c>
      <c r="AD14" s="848" t="n"/>
      <c r="AE14" s="848">
        <f>+AC13-AD13</f>
        <v/>
      </c>
      <c r="AF14" s="853">
        <f>IF(AE13&lt;&gt;0,AE13/AD13,0)</f>
        <v/>
      </c>
      <c r="AG14" s="855">
        <f>+AC13/$AC$9</f>
        <v/>
      </c>
      <c r="AH14" s="845" t="n"/>
      <c r="AI14" s="845" t="inlineStr">
        <is>
          <t xml:space="preserve">            d) Servicios profesionales</t>
        </is>
      </c>
    </row>
    <row r="15" ht="14" customFormat="1" customHeight="1" s="838">
      <c r="A15" s="839" t="inlineStr">
        <is>
          <t xml:space="preserve">            e) Comisiones bancarias</t>
        </is>
      </c>
      <c r="B15" s="851" t="n"/>
      <c r="C15" s="854" t="n"/>
      <c r="D15" s="854" t="n"/>
      <c r="E15" s="854" t="n"/>
      <c r="F15" s="854" t="n"/>
      <c r="G15" s="854" t="n"/>
      <c r="H15" s="854" t="n"/>
      <c r="I15" s="854" t="n"/>
      <c r="J15" s="854" t="n"/>
      <c r="K15" s="854" t="n"/>
      <c r="L15" s="854" t="n"/>
      <c r="M15" s="854" t="n"/>
      <c r="N15" s="854" t="n"/>
      <c r="O15" s="851">
        <f>+SUM(C14:N14)</f>
        <v/>
      </c>
      <c r="P15" s="854" t="n"/>
      <c r="Q15" s="854" t="n"/>
      <c r="R15" s="854" t="n"/>
      <c r="S15" s="854" t="n"/>
      <c r="T15" s="854" t="n"/>
      <c r="U15" s="854" t="n"/>
      <c r="V15" s="854" t="n"/>
      <c r="W15" s="854" t="n"/>
      <c r="X15" s="854" t="n"/>
      <c r="Y15" s="854" t="n"/>
      <c r="Z15" s="854" t="n"/>
      <c r="AA15" s="854" t="n"/>
      <c r="AB15" s="851">
        <f>SUM(P14:AA14)</f>
        <v/>
      </c>
      <c r="AC15" s="851">
        <f>+SUM(O14,B14,AB14)</f>
        <v/>
      </c>
      <c r="AD15" s="851" t="n"/>
      <c r="AE15" s="851">
        <f>+AC14-AD14</f>
        <v/>
      </c>
      <c r="AF15" s="852">
        <f>IF(AE14&lt;&gt;0,AE14/AD14,0)</f>
        <v/>
      </c>
      <c r="AG15" s="857">
        <f>+AC14/$AC$9</f>
        <v/>
      </c>
      <c r="AH15" s="839" t="n"/>
      <c r="AI15" s="839" t="inlineStr">
        <is>
          <t xml:space="preserve">            e) Comisiones bancarias</t>
        </is>
      </c>
    </row>
    <row r="16" ht="14" customFormat="1" customHeight="1" s="838">
      <c r="A16" s="845" t="inlineStr">
        <is>
          <t xml:space="preserve">            k) Viajes</t>
        </is>
      </c>
      <c r="B16" s="848" t="n"/>
      <c r="C16" s="849">
        <f>+SUM('Flujo Bruto'!H50:H55)+SUM('Flujo Bruto'!H57:H62)</f>
        <v/>
      </c>
      <c r="D16" s="849">
        <f>+SUM('Flujo Bruto'!I50:I55)+SUM('Flujo Bruto'!I57:I62)</f>
        <v/>
      </c>
      <c r="E16" s="849">
        <f>+SUM('Flujo Bruto'!J50:J55)+SUM('Flujo Bruto'!J57:J62)</f>
        <v/>
      </c>
      <c r="F16" s="849">
        <f>+SUM('Flujo Bruto'!K50:K55)+SUM('Flujo Bruto'!K57:K62)</f>
        <v/>
      </c>
      <c r="G16" s="849">
        <f>+SUM('Flujo Bruto'!L50:L55)+SUM('Flujo Bruto'!L57:L62)</f>
        <v/>
      </c>
      <c r="H16" s="849">
        <f>+SUM('Flujo Bruto'!M50:M55)+SUM('Flujo Bruto'!M57:M62)</f>
        <v/>
      </c>
      <c r="I16" s="849">
        <f>+SUM('Flujo Bruto'!N50:N55)+SUM('Flujo Bruto'!N57:N62)</f>
        <v/>
      </c>
      <c r="J16" s="849">
        <f>+SUM('Flujo Bruto'!O50:O55)+SUM('Flujo Bruto'!O57:O62)</f>
        <v/>
      </c>
      <c r="K16" s="849">
        <f>+SUM('Flujo Bruto'!P50:P55)+SUM('Flujo Bruto'!P57:P62)</f>
        <v/>
      </c>
      <c r="L16" s="849">
        <f>+SUM('Flujo Bruto'!Q50:Q55)+SUM('Flujo Bruto'!Q57:Q62)</f>
        <v/>
      </c>
      <c r="M16" s="849">
        <f>+SUM('Flujo Bruto'!R50:R55)+SUM('Flujo Bruto'!R57:R62)</f>
        <v/>
      </c>
      <c r="N16" s="849">
        <f>+SUM('Flujo Bruto'!S50:S55)+SUM('Flujo Bruto'!S57:S62)</f>
        <v/>
      </c>
      <c r="O16" s="848">
        <f>+SUM(C15:N15)</f>
        <v/>
      </c>
      <c r="P16" s="849">
        <f>+SUM('Flujo Bruto'!V50:V55)+SUM('Flujo Bruto'!V57:V62)</f>
        <v/>
      </c>
      <c r="Q16" s="849">
        <f>+SUM('Flujo Bruto'!W50:W55)+SUM('Flujo Bruto'!W57:W62)</f>
        <v/>
      </c>
      <c r="R16" s="849">
        <f>+SUM('Flujo Bruto'!X50:X55)+SUM('Flujo Bruto'!X57:X62)</f>
        <v/>
      </c>
      <c r="S16" s="849">
        <f>+SUM('Flujo Bruto'!Y50:Y55)+SUM('Flujo Bruto'!Y57:Y62)</f>
        <v/>
      </c>
      <c r="T16" s="849">
        <f>+SUM('Flujo Bruto'!Z50:Z55)+SUM('Flujo Bruto'!Z57:Z62)</f>
        <v/>
      </c>
      <c r="U16" s="849">
        <f>+SUM('Flujo Bruto'!AA50:AA55)+SUM('Flujo Bruto'!AA57:AA62)</f>
        <v/>
      </c>
      <c r="V16" s="849">
        <f>+SUM('Flujo Bruto'!AB50:AB55)+SUM('Flujo Bruto'!AB57:AB62)</f>
        <v/>
      </c>
      <c r="W16" s="849">
        <f>+SUM('Flujo Bruto'!AC50:AC55)+SUM('Flujo Bruto'!AC57:AC62)</f>
        <v/>
      </c>
      <c r="X16" s="849">
        <f>+SUM('Flujo Bruto'!AD50:AD55)+SUM('Flujo Bruto'!AD57:AD62)</f>
        <v/>
      </c>
      <c r="Y16" s="849">
        <f>+SUM('Flujo Bruto'!AE50:AE55)+SUM('Flujo Bruto'!AE57:AE62)</f>
        <v/>
      </c>
      <c r="Z16" s="849">
        <f>+SUM('Flujo Bruto'!AF50:AF55)+SUM('Flujo Bruto'!AF57:AF62)</f>
        <v/>
      </c>
      <c r="AA16" s="849">
        <f>+SUM('Flujo Bruto'!AG50:AG55)+SUM('Flujo Bruto'!AG57:AG62)</f>
        <v/>
      </c>
      <c r="AB16" s="848">
        <f>SUM(P15:AA15)</f>
        <v/>
      </c>
      <c r="AC16" s="848">
        <f>+SUM(O15,B15,AB15)</f>
        <v/>
      </c>
      <c r="AD16" s="848" t="n"/>
      <c r="AE16" s="848">
        <f>+AC15-AD15</f>
        <v/>
      </c>
      <c r="AF16" s="853">
        <f>IF(AE15&lt;&gt;0,AE15/AD15,0)</f>
        <v/>
      </c>
      <c r="AG16" s="855">
        <f>+AC15/$AC$9</f>
        <v/>
      </c>
      <c r="AH16" s="845" t="n"/>
      <c r="AI16" s="845" t="inlineStr">
        <is>
          <t xml:space="preserve">            k) Viajes</t>
        </is>
      </c>
    </row>
    <row r="17" ht="14" customFormat="1" customHeight="1" s="838">
      <c r="A17" s="839" t="inlineStr">
        <is>
          <t xml:space="preserve">            l) Otros pagos de servicios varios y compras varias</t>
        </is>
      </c>
      <c r="B17" s="851" t="n"/>
      <c r="C17" s="854">
        <f>+SUM('Flujo Bruto'!H64:H68)+SUM('Flujo Bruto'!H42:H48)+'Flujo Bruto'!H12</f>
        <v/>
      </c>
      <c r="D17" s="854">
        <f>+SUM('Flujo Bruto'!I64:I68)+SUM('Flujo Bruto'!I42:I48)+'Flujo Bruto'!I12</f>
        <v/>
      </c>
      <c r="E17" s="854">
        <f>+SUM('Flujo Bruto'!J64:J68)+SUM('Flujo Bruto'!J42:J48)+'Flujo Bruto'!J12</f>
        <v/>
      </c>
      <c r="F17" s="854">
        <f>+SUM('Flujo Bruto'!K64:K68)+SUM('Flujo Bruto'!K42:K48)+'Flujo Bruto'!K12</f>
        <v/>
      </c>
      <c r="G17" s="854">
        <f>+SUM('Flujo Bruto'!L64:L68)+SUM('Flujo Bruto'!L42:L48)+'Flujo Bruto'!L12</f>
        <v/>
      </c>
      <c r="H17" s="854">
        <f>+SUM('Flujo Bruto'!M64:M68)+SUM('Flujo Bruto'!M42:M48)+'Flujo Bruto'!M12</f>
        <v/>
      </c>
      <c r="I17" s="854">
        <f>+SUM('Flujo Bruto'!N64:N68)+SUM('Flujo Bruto'!N42:N48)+'Flujo Bruto'!N12</f>
        <v/>
      </c>
      <c r="J17" s="854">
        <f>+SUM('Flujo Bruto'!O64:O68)+SUM('Flujo Bruto'!O42:O48)+'Flujo Bruto'!O12</f>
        <v/>
      </c>
      <c r="K17" s="854">
        <f>+SUM('Flujo Bruto'!P64:P68)+SUM('Flujo Bruto'!P42:P48)+'Flujo Bruto'!P12</f>
        <v/>
      </c>
      <c r="L17" s="854">
        <f>+SUM('Flujo Bruto'!Q64:Q68)+SUM('Flujo Bruto'!Q42:Q48)+'Flujo Bruto'!Q12</f>
        <v/>
      </c>
      <c r="M17" s="854">
        <f>+SUM('Flujo Bruto'!R64:R68)+SUM('Flujo Bruto'!R42:R48)+'Flujo Bruto'!R12</f>
        <v/>
      </c>
      <c r="N17" s="854">
        <f>+SUM('Flujo Bruto'!S64:S68)+SUM('Flujo Bruto'!S42:S48)+'Flujo Bruto'!S12</f>
        <v/>
      </c>
      <c r="O17" s="851">
        <f>+SUM(C16:N16)</f>
        <v/>
      </c>
      <c r="P17" s="854">
        <f>+SUM('Flujo Bruto'!V64:V68)+SUM('Flujo Bruto'!V42:V48)+'Flujo Bruto'!V12</f>
        <v/>
      </c>
      <c r="Q17" s="854">
        <f>+SUM('Flujo Bruto'!W64:W68)+SUM('Flujo Bruto'!W42:W48)+'Flujo Bruto'!W12</f>
        <v/>
      </c>
      <c r="R17" s="854">
        <f>+SUM('Flujo Bruto'!X64:X68)+SUM('Flujo Bruto'!X42:X48)+'Flujo Bruto'!X12</f>
        <v/>
      </c>
      <c r="S17" s="854">
        <f>+SUM('Flujo Bruto'!Y64:Y68)+SUM('Flujo Bruto'!Y42:Y48)+'Flujo Bruto'!Y12</f>
        <v/>
      </c>
      <c r="T17" s="854">
        <f>+SUM('Flujo Bruto'!Z64:Z68)+SUM('Flujo Bruto'!Z42:Z48)+'Flujo Bruto'!Z12</f>
        <v/>
      </c>
      <c r="U17" s="854">
        <f>+SUM('Flujo Bruto'!AA64:AA68)+SUM('Flujo Bruto'!AA42:AA48)+'Flujo Bruto'!AA12</f>
        <v/>
      </c>
      <c r="V17" s="854">
        <f>+SUM('Flujo Bruto'!AB64:AB68)+SUM('Flujo Bruto'!AB42:AB48)+'Flujo Bruto'!AB12</f>
        <v/>
      </c>
      <c r="W17" s="854">
        <f>+SUM('Flujo Bruto'!AC64:AC68)+SUM('Flujo Bruto'!AC42:AC48)+'Flujo Bruto'!AC12</f>
        <v/>
      </c>
      <c r="X17" s="854">
        <f>+SUM('Flujo Bruto'!AD64:AD68)+SUM('Flujo Bruto'!AD42:AD48)+'Flujo Bruto'!AD12</f>
        <v/>
      </c>
      <c r="Y17" s="854">
        <f>+SUM('Flujo Bruto'!AE64:AE68)+SUM('Flujo Bruto'!AE42:AE48)+'Flujo Bruto'!AE12</f>
        <v/>
      </c>
      <c r="Z17" s="854">
        <f>+SUM('Flujo Bruto'!AF64:AF68)+SUM('Flujo Bruto'!AF42:AF48)+'Flujo Bruto'!AF12</f>
        <v/>
      </c>
      <c r="AA17" s="854">
        <f>+SUM('Flujo Bruto'!AG64:AG68)+SUM('Flujo Bruto'!AG42:AG48)+'Flujo Bruto'!AG12</f>
        <v/>
      </c>
      <c r="AB17" s="851">
        <f>SUM(P16:AA16)</f>
        <v/>
      </c>
      <c r="AC17" s="851">
        <f>+SUM(O16,B16,AB16)</f>
        <v/>
      </c>
      <c r="AD17" s="851" t="n"/>
      <c r="AE17" s="851">
        <f>+AC16-AD16</f>
        <v/>
      </c>
      <c r="AF17" s="852">
        <f>IF(AE16&lt;&gt;0,AE16/AD16,0)</f>
        <v/>
      </c>
      <c r="AG17" s="857">
        <f>+AC16/$AC$9</f>
        <v/>
      </c>
      <c r="AH17" s="839" t="n"/>
      <c r="AI17" s="839" t="inlineStr">
        <is>
          <t xml:space="preserve">            l) Otros pagos de servicios varios y compras varias</t>
        </is>
      </c>
    </row>
    <row r="18" ht="14" customFormat="1" customHeight="1" s="838">
      <c r="A18" s="845" t="inlineStr">
        <is>
          <t xml:space="preserve">            d) Compra de equipos</t>
        </is>
      </c>
      <c r="B18" s="848" t="n"/>
      <c r="C18" s="849">
        <f>+SUM('Flujo Bruto'!H6:H10)</f>
        <v/>
      </c>
      <c r="D18" s="849">
        <f>+SUM('Flujo Bruto'!I6:I10)</f>
        <v/>
      </c>
      <c r="E18" s="849">
        <f>+SUM('Flujo Bruto'!J6:J10)</f>
        <v/>
      </c>
      <c r="F18" s="849">
        <f>+SUM('Flujo Bruto'!K6:K10)</f>
        <v/>
      </c>
      <c r="G18" s="849">
        <f>+SUM('Flujo Bruto'!L6:L10)</f>
        <v/>
      </c>
      <c r="H18" s="849">
        <f>+SUM('Flujo Bruto'!M6:M10)</f>
        <v/>
      </c>
      <c r="I18" s="849">
        <f>+SUM('Flujo Bruto'!N6:N10)</f>
        <v/>
      </c>
      <c r="J18" s="849">
        <f>+SUM('Flujo Bruto'!O6:O10)</f>
        <v/>
      </c>
      <c r="K18" s="849">
        <f>+SUM('Flujo Bruto'!P6:P10)</f>
        <v/>
      </c>
      <c r="L18" s="849">
        <f>+SUM('Flujo Bruto'!Q6:Q10)</f>
        <v/>
      </c>
      <c r="M18" s="849">
        <f>+SUM('Flujo Bruto'!R6:R10)</f>
        <v/>
      </c>
      <c r="N18" s="849">
        <f>+SUM('Flujo Bruto'!S6:S10)</f>
        <v/>
      </c>
      <c r="O18" s="848">
        <f>+SUM(C17:N17)</f>
        <v/>
      </c>
      <c r="P18" s="849">
        <f>+SUM('Flujo Bruto'!V6:V10)</f>
        <v/>
      </c>
      <c r="Q18" s="849">
        <f>+SUM('Flujo Bruto'!W6:W10)</f>
        <v/>
      </c>
      <c r="R18" s="849">
        <f>+SUM('Flujo Bruto'!X6:X10)</f>
        <v/>
      </c>
      <c r="S18" s="849">
        <f>+SUM('Flujo Bruto'!Y6:Y10)</f>
        <v/>
      </c>
      <c r="T18" s="849">
        <f>+SUM('Flujo Bruto'!Z6:Z10)</f>
        <v/>
      </c>
      <c r="U18" s="849">
        <f>+SUM('Flujo Bruto'!AA6:AA10)</f>
        <v/>
      </c>
      <c r="V18" s="849">
        <f>+SUM('Flujo Bruto'!AB6:AB10)</f>
        <v/>
      </c>
      <c r="W18" s="849">
        <f>+SUM('Flujo Bruto'!AC6:AC10)</f>
        <v/>
      </c>
      <c r="X18" s="849">
        <f>+SUM('Flujo Bruto'!AD6:AD10)</f>
        <v/>
      </c>
      <c r="Y18" s="849">
        <f>+SUM('Flujo Bruto'!AE6:AE10)</f>
        <v/>
      </c>
      <c r="Z18" s="849">
        <f>+SUM('Flujo Bruto'!AF6:AF10)</f>
        <v/>
      </c>
      <c r="AA18" s="849">
        <f>+SUM('Flujo Bruto'!AG6:AG10)</f>
        <v/>
      </c>
      <c r="AB18" s="848">
        <f>SUM(P17:AA17)</f>
        <v/>
      </c>
      <c r="AC18" s="848">
        <f>+SUM(O17,B17,AB17)</f>
        <v/>
      </c>
      <c r="AD18" s="848" t="n"/>
      <c r="AE18" s="848">
        <f>+AC17-AD17</f>
        <v/>
      </c>
      <c r="AF18" s="853">
        <f>IF(AE17&lt;&gt;0,AE17/AD17,0)</f>
        <v/>
      </c>
      <c r="AG18" s="855">
        <f>+AC17/$AC$9</f>
        <v/>
      </c>
      <c r="AH18" s="845" t="n"/>
      <c r="AI18" s="845" t="inlineStr">
        <is>
          <t xml:space="preserve">            d) Compra de equipos</t>
        </is>
      </c>
    </row>
    <row r="19" ht="14" customFormat="1" customHeight="1" s="844">
      <c r="A19" s="839" t="inlineStr">
        <is>
          <t xml:space="preserve">            e) Compra de existencias</t>
        </is>
      </c>
      <c r="B19" s="851" t="n"/>
      <c r="C19" s="854">
        <f>+'Flujo Bruto'!H16</f>
        <v/>
      </c>
      <c r="D19" s="854">
        <f>+'Flujo Bruto'!I16</f>
        <v/>
      </c>
      <c r="E19" s="854">
        <f>+'Flujo Bruto'!J16</f>
        <v/>
      </c>
      <c r="F19" s="854">
        <f>+'Flujo Bruto'!K16</f>
        <v/>
      </c>
      <c r="G19" s="854">
        <f>+'Flujo Bruto'!L16</f>
        <v/>
      </c>
      <c r="H19" s="854">
        <f>+'Flujo Bruto'!M16</f>
        <v/>
      </c>
      <c r="I19" s="854">
        <f>+'Flujo Bruto'!N16</f>
        <v/>
      </c>
      <c r="J19" s="854">
        <f>+'Flujo Bruto'!O16</f>
        <v/>
      </c>
      <c r="K19" s="854">
        <f>+'Flujo Bruto'!P16</f>
        <v/>
      </c>
      <c r="L19" s="854">
        <f>+'Flujo Bruto'!Q16</f>
        <v/>
      </c>
      <c r="M19" s="854">
        <f>+'Flujo Bruto'!R16</f>
        <v/>
      </c>
      <c r="N19" s="854">
        <f>+'Flujo Bruto'!S16</f>
        <v/>
      </c>
      <c r="O19" s="851">
        <f>+SUM(C18:N18)</f>
        <v/>
      </c>
      <c r="P19" s="854">
        <f>+'Flujo Bruto'!V16</f>
        <v/>
      </c>
      <c r="Q19" s="854">
        <f>+'Flujo Bruto'!W16</f>
        <v/>
      </c>
      <c r="R19" s="854">
        <f>+'Flujo Bruto'!X16</f>
        <v/>
      </c>
      <c r="S19" s="854">
        <f>+'Flujo Bruto'!Y16</f>
        <v/>
      </c>
      <c r="T19" s="854">
        <f>+'Flujo Bruto'!Z16</f>
        <v/>
      </c>
      <c r="U19" s="854">
        <f>+'Flujo Bruto'!AA16</f>
        <v/>
      </c>
      <c r="V19" s="854">
        <f>+'Flujo Bruto'!AB16</f>
        <v/>
      </c>
      <c r="W19" s="854">
        <f>+'Flujo Bruto'!AC16</f>
        <v/>
      </c>
      <c r="X19" s="854">
        <f>+'Flujo Bruto'!AD16</f>
        <v/>
      </c>
      <c r="Y19" s="854">
        <f>+'Flujo Bruto'!AE16</f>
        <v/>
      </c>
      <c r="Z19" s="854">
        <f>+'Flujo Bruto'!AF16</f>
        <v/>
      </c>
      <c r="AA19" s="854">
        <f>+'Flujo Bruto'!AG16</f>
        <v/>
      </c>
      <c r="AB19" s="851">
        <f>SUM(P18:AA18)</f>
        <v/>
      </c>
      <c r="AC19" s="851">
        <f>+SUM(O18,B18,AB18)</f>
        <v/>
      </c>
      <c r="AD19" s="851" t="n"/>
      <c r="AE19" s="851">
        <f>+AC18-AD18</f>
        <v/>
      </c>
      <c r="AF19" s="852">
        <f>IF(AE18&lt;&gt;0,AE18/AD18,0)</f>
        <v/>
      </c>
      <c r="AG19" s="681" t="n"/>
      <c r="AH19" s="839" t="n"/>
      <c r="AI19" s="839" t="inlineStr">
        <is>
          <t xml:space="preserve">            e) Compra de existencias</t>
        </is>
      </c>
    </row>
    <row r="20" ht="14" customFormat="1" customHeight="1" s="844">
      <c r="A20" s="845" t="inlineStr">
        <is>
          <t xml:space="preserve">    E) FLUJOS DE EFECTIVO DE PROYECTOS (7 + 8)</t>
        </is>
      </c>
      <c r="B20" s="848" t="n"/>
      <c r="C20" s="848">
        <f>+SUM(C9,C7)</f>
        <v/>
      </c>
      <c r="D20" s="848">
        <f>+SUM(D9,D7)</f>
        <v/>
      </c>
      <c r="E20" s="848">
        <f>+SUM(E9,E7)</f>
        <v/>
      </c>
      <c r="F20" s="848">
        <f>+SUM(F9,F7)</f>
        <v/>
      </c>
      <c r="G20" s="848">
        <f>+SUM(G9,G7)</f>
        <v/>
      </c>
      <c r="H20" s="848">
        <f>+SUM(H9,H7)</f>
        <v/>
      </c>
      <c r="I20" s="848">
        <f>+SUM(I9,I7)</f>
        <v/>
      </c>
      <c r="J20" s="848">
        <f>+SUM(J9,J7)</f>
        <v/>
      </c>
      <c r="K20" s="848">
        <f>+SUM(K9,K7)</f>
        <v/>
      </c>
      <c r="L20" s="848">
        <f>+SUM(L9,L7)</f>
        <v/>
      </c>
      <c r="M20" s="848">
        <f>+SUM(M9,M7)</f>
        <v/>
      </c>
      <c r="N20" s="848">
        <f>+SUM(N9,N7)</f>
        <v/>
      </c>
      <c r="O20" s="848">
        <f>+SUM(C19:N19)</f>
        <v/>
      </c>
      <c r="P20" s="848">
        <f>+SUM(P9,P7)</f>
        <v/>
      </c>
      <c r="Q20" s="848">
        <f>+SUM(Q9,Q7)</f>
        <v/>
      </c>
      <c r="R20" s="848">
        <f>+SUM(R9,R7)</f>
        <v/>
      </c>
      <c r="S20" s="848">
        <f>+SUM(S9,S7)</f>
        <v/>
      </c>
      <c r="T20" s="848">
        <f>+SUM(T9,T7)</f>
        <v/>
      </c>
      <c r="U20" s="848">
        <f>+SUM(U9,U7)</f>
        <v/>
      </c>
      <c r="V20" s="848">
        <f>+SUM(V9,V7)</f>
        <v/>
      </c>
      <c r="W20" s="848">
        <f>+SUM(W9,W7)</f>
        <v/>
      </c>
      <c r="X20" s="848">
        <f>+SUM(X9,X7)</f>
        <v/>
      </c>
      <c r="Y20" s="848">
        <f>+SUM(Y9,Y7)</f>
        <v/>
      </c>
      <c r="Z20" s="848">
        <f>+SUM(Z9,Z7)</f>
        <v/>
      </c>
      <c r="AA20" s="848">
        <f>+SUM(AA9,AA7)</f>
        <v/>
      </c>
      <c r="AB20" s="848">
        <f>+SUM(AB9,AB7)</f>
        <v/>
      </c>
      <c r="AC20" s="848">
        <f>+SUM(AC9,AC7)</f>
        <v/>
      </c>
      <c r="AD20" s="848" t="n"/>
      <c r="AE20" s="848">
        <f>+AC19-AD19</f>
        <v/>
      </c>
      <c r="AF20" s="853">
        <f>IF(AE19&lt;&gt;0,AE19/AD19,0)</f>
        <v/>
      </c>
      <c r="AG20" s="686" t="n"/>
      <c r="AH20" s="686" t="n"/>
      <c r="AI20" s="686" t="n"/>
    </row>
    <row r="21" ht="14" customFormat="1" customHeight="1" s="838">
      <c r="A21" s="839" t="inlineStr">
        <is>
          <t xml:space="preserve">    9. TRASPASOS</t>
        </is>
      </c>
      <c r="B21" s="851" t="n"/>
      <c r="C21" s="851">
        <f>SUM(C21:C22)</f>
        <v/>
      </c>
      <c r="D21" s="851">
        <f>SUM(D21:D22)</f>
        <v/>
      </c>
      <c r="E21" s="851">
        <f>SUM(E21:E22)</f>
        <v/>
      </c>
      <c r="F21" s="851">
        <f>SUM(F21:F22)</f>
        <v/>
      </c>
      <c r="G21" s="851">
        <f>SUM(G21:G22)</f>
        <v/>
      </c>
      <c r="H21" s="851">
        <f>SUM(H21:H22)</f>
        <v/>
      </c>
      <c r="I21" s="851">
        <f>SUM(I21:I22)</f>
        <v/>
      </c>
      <c r="J21" s="851">
        <f>SUM(J21:J22)</f>
        <v/>
      </c>
      <c r="K21" s="851">
        <f>SUM(K21:K22)</f>
        <v/>
      </c>
      <c r="L21" s="851">
        <f>SUM(L21:L22)</f>
        <v/>
      </c>
      <c r="M21" s="851">
        <f>SUM(M21:M22)</f>
        <v/>
      </c>
      <c r="N21" s="851">
        <f>SUM(N21:N22)</f>
        <v/>
      </c>
      <c r="O21" s="851">
        <f>+SUM(C20:N20)</f>
        <v/>
      </c>
      <c r="P21" s="851">
        <f>SUM(P21:P22)</f>
        <v/>
      </c>
      <c r="Q21" s="851">
        <f>SUM(Q21:Q22)</f>
        <v/>
      </c>
      <c r="R21" s="851">
        <f>SUM(R21:R22)</f>
        <v/>
      </c>
      <c r="S21" s="851">
        <f>SUM(S21:S22)</f>
        <v/>
      </c>
      <c r="T21" s="851">
        <f>SUM(T21:T22)</f>
        <v/>
      </c>
      <c r="U21" s="851">
        <f>SUM(U21:U22)</f>
        <v/>
      </c>
      <c r="V21" s="851">
        <f>SUM(V21:V22)</f>
        <v/>
      </c>
      <c r="W21" s="851">
        <f>SUM(W21:W22)</f>
        <v/>
      </c>
      <c r="X21" s="851">
        <f>SUM(X21:X22)</f>
        <v/>
      </c>
      <c r="Y21" s="851">
        <f>SUM(Y21:Y22)</f>
        <v/>
      </c>
      <c r="Z21" s="851">
        <f>SUM(Z21:Z22)</f>
        <v/>
      </c>
      <c r="AA21" s="851">
        <f>SUM(AA21:AA22)</f>
        <v/>
      </c>
      <c r="AB21" s="851">
        <f>SUM(AB21:AB22)</f>
        <v/>
      </c>
      <c r="AC21" s="851">
        <f>SUM(AC21:AC22)</f>
        <v/>
      </c>
      <c r="AD21" s="851" t="n">
        <v>0</v>
      </c>
      <c r="AE21" s="851">
        <f>+AC20-AD20</f>
        <v/>
      </c>
      <c r="AF21" s="852">
        <f>IF(AE20&lt;&gt;0,AE20/AD20,0)</f>
        <v/>
      </c>
      <c r="AG21" s="681" t="n"/>
      <c r="AH21" s="681" t="n"/>
      <c r="AI21" s="681" t="n"/>
    </row>
    <row r="22" ht="14" customFormat="1" customHeight="1" s="838">
      <c r="A22" s="845" t="inlineStr">
        <is>
          <t xml:space="preserve">            a) Entradas (+)</t>
        </is>
      </c>
      <c r="B22" s="848" t="n"/>
      <c r="C22" s="849" t="n"/>
      <c r="D22" s="849" t="n"/>
      <c r="E22" s="849" t="n"/>
      <c r="F22" s="849" t="n"/>
      <c r="G22" s="849" t="n"/>
      <c r="H22" s="849" t="n"/>
      <c r="I22" s="849" t="n"/>
      <c r="J22" s="849" t="n"/>
      <c r="K22" s="849" t="n"/>
      <c r="L22" s="849" t="n"/>
      <c r="M22" s="849" t="n"/>
      <c r="N22" s="849" t="n"/>
      <c r="O22" s="848">
        <f>+SUM(C21:N21)</f>
        <v/>
      </c>
      <c r="P22" s="849" t="n"/>
      <c r="Q22" s="849" t="n"/>
      <c r="R22" s="849" t="n"/>
      <c r="S22" s="849" t="n"/>
      <c r="T22" s="849" t="n"/>
      <c r="U22" s="849" t="n"/>
      <c r="V22" s="849" t="n"/>
      <c r="W22" s="849" t="n"/>
      <c r="X22" s="849" t="n"/>
      <c r="Y22" s="849" t="n"/>
      <c r="Z22" s="849" t="n"/>
      <c r="AA22" s="849" t="n"/>
      <c r="AB22" s="848" t="n"/>
      <c r="AC22" s="848">
        <f>+SUM(O21,B21,AB21)</f>
        <v/>
      </c>
      <c r="AD22" s="848" t="n">
        <v>0</v>
      </c>
      <c r="AE22" s="848">
        <f>+AC21-AD21</f>
        <v/>
      </c>
      <c r="AF22" s="853">
        <f>IF(AE21&lt;&gt;0,AE21/AD21,0)</f>
        <v/>
      </c>
      <c r="AG22" s="686" t="n"/>
      <c r="AH22" s="686" t="n"/>
      <c r="AI22" s="686" t="n"/>
    </row>
    <row r="23" ht="14" customFormat="1" customHeight="1" s="844">
      <c r="A23" s="839" t="inlineStr">
        <is>
          <t xml:space="preserve">            b) Salidas (-)</t>
        </is>
      </c>
      <c r="B23" s="851" t="n"/>
      <c r="C23" s="854" t="n"/>
      <c r="D23" s="854" t="n"/>
      <c r="E23" s="854" t="n"/>
      <c r="F23" s="854" t="n"/>
      <c r="G23" s="854" t="n"/>
      <c r="H23" s="854" t="n"/>
      <c r="I23" s="854" t="n"/>
      <c r="J23" s="854" t="n"/>
      <c r="K23" s="854" t="n"/>
      <c r="L23" s="854" t="n"/>
      <c r="M23" s="854" t="n"/>
      <c r="N23" s="854" t="n"/>
      <c r="O23" s="851">
        <f>+SUM(C22:N22)</f>
        <v/>
      </c>
      <c r="P23" s="854" t="n"/>
      <c r="Q23" s="854" t="n"/>
      <c r="R23" s="854" t="n"/>
      <c r="S23" s="854" t="n"/>
      <c r="T23" s="854" t="n"/>
      <c r="U23" s="854" t="n"/>
      <c r="V23" s="854" t="n"/>
      <c r="W23" s="854" t="n"/>
      <c r="X23" s="854" t="n"/>
      <c r="Y23" s="854" t="n"/>
      <c r="Z23" s="854" t="n"/>
      <c r="AA23" s="854" t="n"/>
      <c r="AB23" s="851" t="n"/>
      <c r="AC23" s="851">
        <f>+SUM(O22,B22,AB22)</f>
        <v/>
      </c>
      <c r="AD23" s="851" t="n">
        <v>0</v>
      </c>
      <c r="AE23" s="851">
        <f>+AC22-AD22</f>
        <v/>
      </c>
      <c r="AF23" s="852">
        <f>IF(AE22&lt;&gt;0,AE22/AD22,0)</f>
        <v/>
      </c>
      <c r="AG23" s="681" t="n"/>
      <c r="AH23" s="681" t="n"/>
      <c r="AI23" s="681" t="n"/>
    </row>
    <row r="24" ht="14" customHeight="1" s="549">
      <c r="A24" s="845" t="inlineStr">
        <is>
          <t xml:space="preserve">    G) TRASPASOS (a + b)</t>
        </is>
      </c>
      <c r="B24" s="848" t="n"/>
      <c r="C24" s="848">
        <f>+C20</f>
        <v/>
      </c>
      <c r="D24" s="848">
        <f>+D20</f>
        <v/>
      </c>
      <c r="E24" s="848">
        <f>+E20</f>
        <v/>
      </c>
      <c r="F24" s="848">
        <f>+F20</f>
        <v/>
      </c>
      <c r="G24" s="848">
        <f>+G20</f>
        <v/>
      </c>
      <c r="H24" s="848">
        <f>+H20</f>
        <v/>
      </c>
      <c r="I24" s="848">
        <f>+I20</f>
        <v/>
      </c>
      <c r="J24" s="848">
        <f>+J20</f>
        <v/>
      </c>
      <c r="K24" s="848">
        <f>+K20</f>
        <v/>
      </c>
      <c r="L24" s="848">
        <f>+L20</f>
        <v/>
      </c>
      <c r="M24" s="848">
        <f>+M20</f>
        <v/>
      </c>
      <c r="N24" s="848">
        <f>+N20</f>
        <v/>
      </c>
      <c r="O24" s="848">
        <f>+SUM(C23:N23)</f>
        <v/>
      </c>
      <c r="P24" s="848">
        <f>+P20</f>
        <v/>
      </c>
      <c r="Q24" s="848">
        <f>+Q20</f>
        <v/>
      </c>
      <c r="R24" s="848">
        <f>+R20</f>
        <v/>
      </c>
      <c r="S24" s="848">
        <f>+S20</f>
        <v/>
      </c>
      <c r="T24" s="848">
        <f>+T20</f>
        <v/>
      </c>
      <c r="U24" s="848">
        <f>+U20</f>
        <v/>
      </c>
      <c r="V24" s="848">
        <f>+V20</f>
        <v/>
      </c>
      <c r="W24" s="848">
        <f>+W20</f>
        <v/>
      </c>
      <c r="X24" s="848">
        <f>+X20</f>
        <v/>
      </c>
      <c r="Y24" s="848">
        <f>+Y20</f>
        <v/>
      </c>
      <c r="Z24" s="848">
        <f>+Z20</f>
        <v/>
      </c>
      <c r="AA24" s="848">
        <f>+AA20</f>
        <v/>
      </c>
      <c r="AB24" s="848">
        <f>+AB20</f>
        <v/>
      </c>
      <c r="AC24" s="848">
        <f>+AC20</f>
        <v/>
      </c>
      <c r="AD24" s="848" t="n">
        <v>0</v>
      </c>
      <c r="AE24" s="848">
        <f>+AC23-AD23</f>
        <v/>
      </c>
      <c r="AF24" s="853">
        <f>IF(AE23&lt;&gt;0,AE23/AD23,0)</f>
        <v/>
      </c>
      <c r="AG24" s="686" t="n"/>
      <c r="AH24" s="686" t="n"/>
      <c r="AI24" s="686" t="n"/>
    </row>
    <row r="25" ht="12" customFormat="1" customHeight="1" s="844">
      <c r="B25" s="290" t="n"/>
      <c r="AD25" s="290" t="n"/>
      <c r="AE25" s="290" t="n"/>
      <c r="AF25" s="290" t="n"/>
    </row>
    <row r="26" ht="14" customHeight="1" s="549">
      <c r="A26" s="839" t="inlineStr">
        <is>
          <t>SALDO BANCARIO, cuenta restringida (ejecución proyecto)</t>
        </is>
      </c>
      <c r="B26" s="851" t="n"/>
      <c r="C26" s="854" t="n"/>
      <c r="D26" s="854" t="n"/>
      <c r="E26" s="854" t="n"/>
      <c r="F26" s="854" t="n"/>
      <c r="G26" s="854" t="n"/>
      <c r="H26" s="854" t="n"/>
      <c r="I26" s="854" t="n"/>
      <c r="J26" s="854" t="n"/>
      <c r="K26" s="854" t="n"/>
      <c r="L26" s="854" t="n"/>
      <c r="M26" s="854" t="n"/>
      <c r="N26" s="854" t="n"/>
      <c r="O26" s="854" t="n"/>
      <c r="P26" s="854" t="n"/>
      <c r="Q26" s="854" t="n"/>
      <c r="R26" s="854" t="n"/>
      <c r="S26" s="854" t="n"/>
      <c r="T26" s="854" t="n"/>
      <c r="U26" s="854" t="n"/>
      <c r="V26" s="854" t="n"/>
      <c r="W26" s="854" t="n"/>
      <c r="X26" s="854" t="n"/>
      <c r="Y26" s="854" t="n"/>
      <c r="Z26" s="854" t="n"/>
      <c r="AA26" s="854" t="n"/>
      <c r="AB26" s="854" t="n"/>
      <c r="AC26" s="854" t="n"/>
      <c r="AD26" s="851" t="n"/>
      <c r="AE26" s="851" t="n"/>
      <c r="AF26" s="852" t="n"/>
      <c r="AG26" s="681" t="n"/>
      <c r="AH26" s="681" t="n"/>
      <c r="AI26" s="681" t="n"/>
    </row>
    <row r="27" ht="12" customHeight="1" s="549"/>
    <row r="28" ht="14" customHeight="1" s="549">
      <c r="A28" s="686" t="n"/>
      <c r="B28" s="686" t="n"/>
      <c r="C28" s="686" t="n"/>
      <c r="D28" s="686" t="n"/>
      <c r="E28" s="686" t="n"/>
      <c r="F28" s="686" t="n"/>
      <c r="G28" s="686" t="n"/>
      <c r="H28" s="686" t="n"/>
      <c r="I28" s="686" t="n"/>
      <c r="J28" s="686" t="n"/>
      <c r="K28" s="834" t="inlineStr">
        <is>
          <t>MONEDA:</t>
        </is>
      </c>
      <c r="L28" s="686">
        <f>#NAME?</f>
        <v/>
      </c>
      <c r="M28" s="834" t="inlineStr">
        <is>
          <t>PAÍS:</t>
        </is>
      </c>
      <c r="N28" s="686">
        <f>#NAME?</f>
        <v/>
      </c>
      <c r="O28" s="686" t="n"/>
      <c r="P28" s="686" t="n"/>
      <c r="Q28" s="686" t="n"/>
      <c r="R28" s="686" t="n"/>
      <c r="S28" s="686" t="n"/>
      <c r="T28" s="686" t="n"/>
      <c r="U28" s="686" t="n"/>
      <c r="V28" s="686" t="n"/>
      <c r="W28" s="686" t="n"/>
      <c r="X28" s="686" t="n"/>
      <c r="Y28" s="686" t="n"/>
      <c r="Z28" s="686" t="n"/>
      <c r="AA28" s="686" t="n"/>
      <c r="AB28" s="686" t="n"/>
      <c r="AC28" s="686" t="n"/>
      <c r="AD28" s="686" t="n"/>
      <c r="AE28" s="686" t="n"/>
      <c r="AF28" s="686" t="n"/>
      <c r="AG28" s="686" t="n"/>
      <c r="AH28" s="686" t="n"/>
      <c r="AI28" s="686" t="n"/>
    </row>
    <row r="29" hidden="1" outlineLevel="1" ht="14" customHeight="1" s="549">
      <c r="A29" s="831" t="inlineStr">
        <is>
          <t>* Desglosar para ver importes en EUR</t>
        </is>
      </c>
      <c r="B29" s="681" t="n"/>
      <c r="C29" s="681" t="n"/>
      <c r="D29" s="681" t="n"/>
      <c r="E29" s="681" t="n"/>
      <c r="F29" s="681" t="n"/>
      <c r="G29" s="681" t="n"/>
      <c r="H29" s="681" t="n"/>
      <c r="I29" s="681" t="n"/>
      <c r="J29" s="681" t="n"/>
      <c r="K29" s="831" t="inlineStr">
        <is>
          <t>T/CAMBIO:</t>
        </is>
      </c>
      <c r="L29" s="681">
        <f>#NAME?</f>
        <v/>
      </c>
      <c r="M29" s="831" t="inlineStr">
        <is>
          <t>DATO:</t>
        </is>
      </c>
      <c r="N29" s="681">
        <f>#NAME?</f>
        <v/>
      </c>
      <c r="O29" s="681" t="n"/>
      <c r="P29" s="681" t="n"/>
      <c r="Q29" s="681" t="n"/>
      <c r="R29" s="681" t="n"/>
      <c r="S29" s="681" t="n"/>
      <c r="T29" s="681" t="n"/>
      <c r="U29" s="681" t="n"/>
      <c r="V29" s="681" t="n"/>
      <c r="W29" s="681" t="n"/>
      <c r="X29" s="681" t="n"/>
      <c r="Y29" s="681" t="n"/>
      <c r="Z29" s="681" t="n"/>
      <c r="AA29" s="681" t="n"/>
      <c r="AB29" s="681" t="n"/>
      <c r="AC29" s="877" t="n"/>
      <c r="AD29" s="681" t="n"/>
      <c r="AE29" s="681" t="n"/>
      <c r="AF29" s="681" t="n"/>
      <c r="AG29" s="681" t="n"/>
      <c r="AH29" s="681" t="n"/>
      <c r="AI29" s="681" t="n"/>
    </row>
    <row r="30" hidden="1" outlineLevel="1" ht="12" customHeight="1" s="549"/>
    <row r="31" hidden="1" outlineLevel="1" ht="14" customHeight="1" s="549">
      <c r="A31" s="686" t="n"/>
      <c r="B31" s="686" t="n"/>
      <c r="C31" s="686" t="n"/>
      <c r="D31" s="686" t="n"/>
      <c r="E31" s="686" t="n"/>
      <c r="F31" s="686" t="n"/>
      <c r="G31" s="686" t="n"/>
      <c r="H31" s="686" t="n"/>
      <c r="I31" s="686" t="n"/>
      <c r="J31" s="686" t="n"/>
      <c r="K31" s="686" t="n"/>
      <c r="L31" s="686" t="n"/>
      <c r="M31" s="686" t="n"/>
      <c r="N31" s="686" t="n"/>
      <c r="O31" s="686" t="n"/>
      <c r="P31" s="686" t="n"/>
      <c r="Q31" s="686" t="n"/>
      <c r="R31" s="686" t="n"/>
      <c r="S31" s="686" t="n"/>
      <c r="T31" s="686" t="n"/>
      <c r="U31" s="686" t="n"/>
      <c r="V31" s="686" t="n"/>
      <c r="W31" s="686" t="n"/>
      <c r="X31" s="686" t="n"/>
      <c r="Y31" s="686" t="n"/>
      <c r="Z31" s="686" t="n"/>
      <c r="AA31" s="686" t="n"/>
      <c r="AB31" s="686" t="n"/>
      <c r="AC31" s="820">
        <f>+AC4</f>
        <v/>
      </c>
      <c r="AD31" s="836">
        <f>+AD4</f>
        <v/>
      </c>
      <c r="AE31" s="834" t="n"/>
      <c r="AF31" s="834" t="n"/>
      <c r="AG31" s="686" t="n"/>
      <c r="AH31" s="686" t="n"/>
      <c r="AI31" s="686" t="n"/>
    </row>
    <row r="32" hidden="1" outlineLevel="1" ht="14" customHeight="1" s="549">
      <c r="A32" s="878" t="inlineStr">
        <is>
          <t>CASHFLOW EUR</t>
        </is>
      </c>
      <c r="B32" s="823">
        <f>+B5</f>
        <v/>
      </c>
      <c r="C32" s="860">
        <f>+C5</f>
        <v/>
      </c>
      <c r="D32" s="831" t="n"/>
      <c r="E32" s="831" t="n"/>
      <c r="F32" s="831" t="n"/>
      <c r="G32" s="831" t="n"/>
      <c r="H32" s="831" t="n"/>
      <c r="I32" s="831" t="n"/>
      <c r="J32" s="831" t="n"/>
      <c r="K32" s="831" t="n"/>
      <c r="L32" s="831" t="n"/>
      <c r="M32" s="831" t="n"/>
      <c r="N32" s="831" t="n"/>
      <c r="O32" s="823">
        <f>+O5</f>
        <v/>
      </c>
      <c r="P32" s="823" t="n"/>
      <c r="Q32" s="823" t="n"/>
      <c r="R32" s="823" t="n"/>
      <c r="S32" s="823" t="n"/>
      <c r="T32" s="823" t="n"/>
      <c r="U32" s="823" t="n"/>
      <c r="V32" s="823" t="n"/>
      <c r="W32" s="823" t="n"/>
      <c r="X32" s="823" t="n"/>
      <c r="Y32" s="823" t="n"/>
      <c r="Z32" s="823" t="n"/>
      <c r="AA32" s="823" t="n"/>
      <c r="AB32" s="823">
        <f>+AB5</f>
        <v/>
      </c>
      <c r="AC32" s="823">
        <f>+AC5</f>
        <v/>
      </c>
      <c r="AD32" s="823">
        <f>+AD5</f>
        <v/>
      </c>
      <c r="AE32" s="823">
        <f>+AE5</f>
        <v/>
      </c>
      <c r="AF32" s="823">
        <f>+AF5</f>
        <v/>
      </c>
      <c r="AG32" s="681" t="n"/>
      <c r="AH32" s="681" t="n"/>
      <c r="AI32" s="681" t="n"/>
    </row>
    <row r="33" hidden="1" outlineLevel="1" ht="14" customFormat="1" customHeight="1" s="844">
      <c r="A33" s="834" t="n"/>
      <c r="B33" s="820">
        <f>+B6</f>
        <v/>
      </c>
      <c r="C33" s="879">
        <f>+C6</f>
        <v/>
      </c>
      <c r="D33" s="879">
        <f>+D6</f>
        <v/>
      </c>
      <c r="E33" s="879">
        <f>+E6</f>
        <v/>
      </c>
      <c r="F33" s="879">
        <f>+F6</f>
        <v/>
      </c>
      <c r="G33" s="879">
        <f>+G6</f>
        <v/>
      </c>
      <c r="H33" s="879">
        <f>+H6</f>
        <v/>
      </c>
      <c r="I33" s="879">
        <f>+I6</f>
        <v/>
      </c>
      <c r="J33" s="879">
        <f>+J6</f>
        <v/>
      </c>
      <c r="K33" s="879">
        <f>+K6</f>
        <v/>
      </c>
      <c r="L33" s="879">
        <f>+L6</f>
        <v/>
      </c>
      <c r="M33" s="879">
        <f>+M6</f>
        <v/>
      </c>
      <c r="N33" s="879">
        <f>+N6</f>
        <v/>
      </c>
      <c r="O33" s="879">
        <f>+O6</f>
        <v/>
      </c>
      <c r="P33" s="879" t="n"/>
      <c r="Q33" s="879" t="n"/>
      <c r="R33" s="879" t="n"/>
      <c r="S33" s="879" t="n"/>
      <c r="T33" s="879" t="n"/>
      <c r="U33" s="879" t="n"/>
      <c r="V33" s="879" t="n"/>
      <c r="W33" s="879" t="n"/>
      <c r="X33" s="879" t="n"/>
      <c r="Y33" s="879" t="n"/>
      <c r="Z33" s="879" t="n"/>
      <c r="AA33" s="879" t="n"/>
      <c r="AB33" s="879">
        <f>+AB6</f>
        <v/>
      </c>
      <c r="AC33" s="879">
        <f>+AC6</f>
        <v/>
      </c>
      <c r="AD33" s="879">
        <f>+AD6</f>
        <v/>
      </c>
      <c r="AE33" s="879">
        <f>+AE6</f>
        <v/>
      </c>
      <c r="AF33" s="879">
        <f>+AF6</f>
        <v/>
      </c>
      <c r="AG33" s="686" t="n"/>
      <c r="AH33" s="686" t="n"/>
      <c r="AI33" s="686" t="n"/>
    </row>
    <row r="34" hidden="1" outlineLevel="1" ht="14" customFormat="1" customHeight="1" s="838">
      <c r="A34" s="839" t="inlineStr">
        <is>
          <t xml:space="preserve">    7. COBROS DE PROYECTOS</t>
        </is>
      </c>
      <c r="B34" s="851">
        <f>+B7*$L$28</f>
        <v/>
      </c>
      <c r="C34" s="851">
        <f>+C7*$L$28</f>
        <v/>
      </c>
      <c r="D34" s="851">
        <f>+D7*$L$28</f>
        <v/>
      </c>
      <c r="E34" s="851">
        <f>+E7*$L$28</f>
        <v/>
      </c>
      <c r="F34" s="851">
        <f>+F7*$L$28</f>
        <v/>
      </c>
      <c r="G34" s="851">
        <f>+G7*$L$28</f>
        <v/>
      </c>
      <c r="H34" s="851">
        <f>+H7*$L$28</f>
        <v/>
      </c>
      <c r="I34" s="851">
        <f>+I7*$L$28</f>
        <v/>
      </c>
      <c r="J34" s="851">
        <f>+J7*$L$28</f>
        <v/>
      </c>
      <c r="K34" s="851">
        <f>+K7*$L$28</f>
        <v/>
      </c>
      <c r="L34" s="851">
        <f>+L7*$L$28</f>
        <v/>
      </c>
      <c r="M34" s="851">
        <f>+M7*$L$28</f>
        <v/>
      </c>
      <c r="N34" s="851">
        <f>+N7*$L$28</f>
        <v/>
      </c>
      <c r="O34" s="851">
        <f>+O7*$L$28</f>
        <v/>
      </c>
      <c r="P34" s="851" t="n"/>
      <c r="Q34" s="851" t="n"/>
      <c r="R34" s="851" t="n"/>
      <c r="S34" s="851" t="n"/>
      <c r="T34" s="851" t="n"/>
      <c r="U34" s="851" t="n"/>
      <c r="V34" s="851" t="n"/>
      <c r="W34" s="851" t="n"/>
      <c r="X34" s="851" t="n"/>
      <c r="Y34" s="851" t="n"/>
      <c r="Z34" s="851" t="n"/>
      <c r="AA34" s="851" t="n"/>
      <c r="AB34" s="851">
        <f>+AB7*$L$28</f>
        <v/>
      </c>
      <c r="AC34" s="851">
        <f>+AC7*$L$28</f>
        <v/>
      </c>
      <c r="AD34" s="851">
        <f>+AD7*$L$28</f>
        <v/>
      </c>
      <c r="AE34" s="851">
        <f>+AE7*$L$28</f>
        <v/>
      </c>
      <c r="AF34" s="852">
        <f>IF(AE33&lt;&gt;0,AE33/AD33,0)</f>
        <v/>
      </c>
      <c r="AG34" s="681" t="n"/>
      <c r="AH34" s="681" t="n"/>
      <c r="AI34" s="681" t="n"/>
    </row>
    <row r="35" hidden="1" outlineLevel="1" ht="14" customFormat="1" customHeight="1" s="844">
      <c r="A35" s="845" t="inlineStr">
        <is>
          <t xml:space="preserve">            a) Otros cobros</t>
        </is>
      </c>
      <c r="B35" s="848">
        <f>+B8*$L$28</f>
        <v/>
      </c>
      <c r="C35" s="848">
        <f>+C8*$L$28</f>
        <v/>
      </c>
      <c r="D35" s="848">
        <f>+D8*$L$28</f>
        <v/>
      </c>
      <c r="E35" s="848">
        <f>+E8*$L$28</f>
        <v/>
      </c>
      <c r="F35" s="848">
        <f>+F8*$L$28</f>
        <v/>
      </c>
      <c r="G35" s="848">
        <f>+G8*$L$28</f>
        <v/>
      </c>
      <c r="H35" s="848">
        <f>+H8*$L$28</f>
        <v/>
      </c>
      <c r="I35" s="848">
        <f>+I8*$L$28</f>
        <v/>
      </c>
      <c r="J35" s="848">
        <f>+J8*$L$28</f>
        <v/>
      </c>
      <c r="K35" s="848">
        <f>+K8*$L$28</f>
        <v/>
      </c>
      <c r="L35" s="848">
        <f>+L8*$L$28</f>
        <v/>
      </c>
      <c r="M35" s="848">
        <f>+M8*$L$28</f>
        <v/>
      </c>
      <c r="N35" s="848">
        <f>+N8*$L$28</f>
        <v/>
      </c>
      <c r="O35" s="848">
        <f>+O8*$L$28</f>
        <v/>
      </c>
      <c r="P35" s="848" t="n"/>
      <c r="Q35" s="848" t="n"/>
      <c r="R35" s="848" t="n"/>
      <c r="S35" s="848" t="n"/>
      <c r="T35" s="848" t="n"/>
      <c r="U35" s="848" t="n"/>
      <c r="V35" s="848" t="n"/>
      <c r="W35" s="848" t="n"/>
      <c r="X35" s="848" t="n"/>
      <c r="Y35" s="848" t="n"/>
      <c r="Z35" s="848" t="n"/>
      <c r="AA35" s="848" t="n"/>
      <c r="AB35" s="848">
        <f>+AB8*$L$28</f>
        <v/>
      </c>
      <c r="AC35" s="848">
        <f>+AC8*$L$28</f>
        <v/>
      </c>
      <c r="AD35" s="848">
        <f>+AD8*$L$28</f>
        <v/>
      </c>
      <c r="AE35" s="848">
        <f>+AE8*$L$28</f>
        <v/>
      </c>
      <c r="AF35" s="853">
        <f>IF(AE34&lt;&gt;0,AE34/AD34,0)</f>
        <v/>
      </c>
      <c r="AG35" s="686" t="n"/>
      <c r="AH35" s="686" t="n"/>
      <c r="AI35" s="686" t="n"/>
    </row>
    <row r="36" hidden="1" outlineLevel="1" ht="14" customFormat="1" customHeight="1" s="838">
      <c r="A36" s="839" t="inlineStr">
        <is>
          <t xml:space="preserve">    8. PAGOS DE PROYECTOS</t>
        </is>
      </c>
      <c r="B36" s="851">
        <f>+B9*$L$28</f>
        <v/>
      </c>
      <c r="C36" s="851">
        <f>+C9*$L$28</f>
        <v/>
      </c>
      <c r="D36" s="851">
        <f>+D9*$L$28</f>
        <v/>
      </c>
      <c r="E36" s="851">
        <f>+E9*$L$28</f>
        <v/>
      </c>
      <c r="F36" s="851">
        <f>+F9*$L$28</f>
        <v/>
      </c>
      <c r="G36" s="851">
        <f>+G9*$L$28</f>
        <v/>
      </c>
      <c r="H36" s="851">
        <f>+H9*$L$28</f>
        <v/>
      </c>
      <c r="I36" s="851">
        <f>+I9*$L$28</f>
        <v/>
      </c>
      <c r="J36" s="851">
        <f>+J9*$L$28</f>
        <v/>
      </c>
      <c r="K36" s="851">
        <f>+K9*$L$28</f>
        <v/>
      </c>
      <c r="L36" s="851">
        <f>+L9*$L$28</f>
        <v/>
      </c>
      <c r="M36" s="851">
        <f>+M9*$L$28</f>
        <v/>
      </c>
      <c r="N36" s="851">
        <f>+N9*$L$28</f>
        <v/>
      </c>
      <c r="O36" s="851">
        <f>+O9*$L$28</f>
        <v/>
      </c>
      <c r="P36" s="851" t="n"/>
      <c r="Q36" s="851" t="n"/>
      <c r="R36" s="851" t="n"/>
      <c r="S36" s="851" t="n"/>
      <c r="T36" s="851" t="n"/>
      <c r="U36" s="851" t="n"/>
      <c r="V36" s="851" t="n"/>
      <c r="W36" s="851" t="n"/>
      <c r="X36" s="851" t="n"/>
      <c r="Y36" s="851" t="n"/>
      <c r="Z36" s="851" t="n"/>
      <c r="AA36" s="851" t="n"/>
      <c r="AB36" s="851">
        <f>+AB9*$L$28</f>
        <v/>
      </c>
      <c r="AC36" s="851">
        <f>+AC9*$L$28</f>
        <v/>
      </c>
      <c r="AD36" s="851">
        <f>+AD9*$L$28</f>
        <v/>
      </c>
      <c r="AE36" s="851">
        <f>+AE9*$L$28</f>
        <v/>
      </c>
      <c r="AF36" s="852">
        <f>IF(AE35&lt;&gt;0,AE35/AD35,0)</f>
        <v/>
      </c>
      <c r="AG36" s="681" t="n"/>
      <c r="AH36" s="681" t="n"/>
      <c r="AI36" s="681" t="n"/>
    </row>
    <row r="37" hidden="1" outlineLevel="1" ht="14" customFormat="1" customHeight="1" s="838">
      <c r="A37" s="845" t="inlineStr">
        <is>
          <t xml:space="preserve">            a) Sueldos y salarios</t>
        </is>
      </c>
      <c r="B37" s="848">
        <f>+B10*$L$28</f>
        <v/>
      </c>
      <c r="C37" s="848">
        <f>+C10*$L$28</f>
        <v/>
      </c>
      <c r="D37" s="848">
        <f>+D10*$L$28</f>
        <v/>
      </c>
      <c r="E37" s="848">
        <f>+E10*$L$28</f>
        <v/>
      </c>
      <c r="F37" s="848">
        <f>+F10*$L$28</f>
        <v/>
      </c>
      <c r="G37" s="848">
        <f>+G10*$L$28</f>
        <v/>
      </c>
      <c r="H37" s="848">
        <f>+H10*$L$28</f>
        <v/>
      </c>
      <c r="I37" s="848">
        <f>+I10*$L$28</f>
        <v/>
      </c>
      <c r="J37" s="848">
        <f>+J10*$L$28</f>
        <v/>
      </c>
      <c r="K37" s="848">
        <f>+K10*$L$28</f>
        <v/>
      </c>
      <c r="L37" s="848">
        <f>+L10*$L$28</f>
        <v/>
      </c>
      <c r="M37" s="848">
        <f>+M10*$L$28</f>
        <v/>
      </c>
      <c r="N37" s="848">
        <f>+N10*$L$28</f>
        <v/>
      </c>
      <c r="O37" s="848">
        <f>+O10*$L$28</f>
        <v/>
      </c>
      <c r="P37" s="848" t="n"/>
      <c r="Q37" s="848" t="n"/>
      <c r="R37" s="848" t="n"/>
      <c r="S37" s="848" t="n"/>
      <c r="T37" s="848" t="n"/>
      <c r="U37" s="848" t="n"/>
      <c r="V37" s="848" t="n"/>
      <c r="W37" s="848" t="n"/>
      <c r="X37" s="848" t="n"/>
      <c r="Y37" s="848" t="n"/>
      <c r="Z37" s="848" t="n"/>
      <c r="AA37" s="848" t="n"/>
      <c r="AB37" s="848">
        <f>+AB10*$L$28</f>
        <v/>
      </c>
      <c r="AC37" s="848">
        <f>+AC10*$L$28</f>
        <v/>
      </c>
      <c r="AD37" s="848">
        <f>+AD10*$L$28</f>
        <v/>
      </c>
      <c r="AE37" s="848">
        <f>+AE10*$L$28</f>
        <v/>
      </c>
      <c r="AF37" s="853">
        <f>IF(AE36&lt;&gt;0,AE36/AD36,0)</f>
        <v/>
      </c>
      <c r="AG37" s="686" t="n"/>
      <c r="AH37" s="686" t="n"/>
      <c r="AI37" s="686" t="n"/>
    </row>
    <row r="38" hidden="1" outlineLevel="1" ht="14" customFormat="1" customHeight="1" s="838">
      <c r="A38" s="839" t="inlineStr">
        <is>
          <t xml:space="preserve">            b) Alquileres</t>
        </is>
      </c>
      <c r="B38" s="851">
        <f>+B11*$L$28</f>
        <v/>
      </c>
      <c r="C38" s="851">
        <f>+C11*$L$28</f>
        <v/>
      </c>
      <c r="D38" s="851">
        <f>+D11*$L$28</f>
        <v/>
      </c>
      <c r="E38" s="851">
        <f>+E11*$L$28</f>
        <v/>
      </c>
      <c r="F38" s="851">
        <f>+F11*$L$28</f>
        <v/>
      </c>
      <c r="G38" s="851">
        <f>+G11*$L$28</f>
        <v/>
      </c>
      <c r="H38" s="851">
        <f>+H11*$L$28</f>
        <v/>
      </c>
      <c r="I38" s="851">
        <f>+I11*$L$28</f>
        <v/>
      </c>
      <c r="J38" s="851">
        <f>+J11*$L$28</f>
        <v/>
      </c>
      <c r="K38" s="851">
        <f>+K11*$L$28</f>
        <v/>
      </c>
      <c r="L38" s="851">
        <f>+L11*$L$28</f>
        <v/>
      </c>
      <c r="M38" s="851">
        <f>+M11*$L$28</f>
        <v/>
      </c>
      <c r="N38" s="851">
        <f>+N11*$L$28</f>
        <v/>
      </c>
      <c r="O38" s="851">
        <f>+O11*$L$28</f>
        <v/>
      </c>
      <c r="P38" s="851" t="n"/>
      <c r="Q38" s="851" t="n"/>
      <c r="R38" s="851" t="n"/>
      <c r="S38" s="851" t="n"/>
      <c r="T38" s="851" t="n"/>
      <c r="U38" s="851" t="n"/>
      <c r="V38" s="851" t="n"/>
      <c r="W38" s="851" t="n"/>
      <c r="X38" s="851" t="n"/>
      <c r="Y38" s="851" t="n"/>
      <c r="Z38" s="851" t="n"/>
      <c r="AA38" s="851" t="n"/>
      <c r="AB38" s="851">
        <f>+AB11*$L$28</f>
        <v/>
      </c>
      <c r="AC38" s="851">
        <f>+AC11*$L$28</f>
        <v/>
      </c>
      <c r="AD38" s="851">
        <f>+AD11*$L$28</f>
        <v/>
      </c>
      <c r="AE38" s="851">
        <f>+AE11*$L$28</f>
        <v/>
      </c>
      <c r="AF38" s="852">
        <f>IF(AE37&lt;&gt;0,AE37/AD37,0)</f>
        <v/>
      </c>
      <c r="AG38" s="681" t="n"/>
      <c r="AH38" s="681" t="n"/>
      <c r="AI38" s="681" t="n"/>
    </row>
    <row r="39" hidden="1" outlineLevel="1" ht="14" customFormat="1" customHeight="1" s="838">
      <c r="A39" s="845" t="inlineStr">
        <is>
          <t xml:space="preserve">            c) Mantenimiento y reparaciones</t>
        </is>
      </c>
      <c r="B39" s="848">
        <f>+B12*$L$28</f>
        <v/>
      </c>
      <c r="C39" s="848">
        <f>+C12*$L$28</f>
        <v/>
      </c>
      <c r="D39" s="848">
        <f>+D12*$L$28</f>
        <v/>
      </c>
      <c r="E39" s="848">
        <f>+E12*$L$28</f>
        <v/>
      </c>
      <c r="F39" s="848">
        <f>+F12*$L$28</f>
        <v/>
      </c>
      <c r="G39" s="848">
        <f>+G12*$L$28</f>
        <v/>
      </c>
      <c r="H39" s="848">
        <f>+H12*$L$28</f>
        <v/>
      </c>
      <c r="I39" s="848">
        <f>+I12*$L$28</f>
        <v/>
      </c>
      <c r="J39" s="848">
        <f>+J12*$L$28</f>
        <v/>
      </c>
      <c r="K39" s="848">
        <f>+K12*$L$28</f>
        <v/>
      </c>
      <c r="L39" s="848">
        <f>+L12*$L$28</f>
        <v/>
      </c>
      <c r="M39" s="848">
        <f>+M12*$L$28</f>
        <v/>
      </c>
      <c r="N39" s="848">
        <f>+N12*$L$28</f>
        <v/>
      </c>
      <c r="O39" s="848">
        <f>+O12*$L$28</f>
        <v/>
      </c>
      <c r="P39" s="848" t="n"/>
      <c r="Q39" s="848" t="n"/>
      <c r="R39" s="848" t="n"/>
      <c r="S39" s="848" t="n"/>
      <c r="T39" s="848" t="n"/>
      <c r="U39" s="848" t="n"/>
      <c r="V39" s="848" t="n"/>
      <c r="W39" s="848" t="n"/>
      <c r="X39" s="848" t="n"/>
      <c r="Y39" s="848" t="n"/>
      <c r="Z39" s="848" t="n"/>
      <c r="AA39" s="848" t="n"/>
      <c r="AB39" s="848">
        <f>+AB12*$L$28</f>
        <v/>
      </c>
      <c r="AC39" s="848">
        <f>+AC12*$L$28</f>
        <v/>
      </c>
      <c r="AD39" s="848">
        <f>+AD12*$L$28</f>
        <v/>
      </c>
      <c r="AE39" s="848">
        <f>+AE12*$L$28</f>
        <v/>
      </c>
      <c r="AF39" s="853">
        <f>IF(AE38&lt;&gt;0,AE38/AD38,0)</f>
        <v/>
      </c>
      <c r="AG39" s="686" t="n"/>
      <c r="AH39" s="686" t="n"/>
      <c r="AI39" s="686" t="n"/>
    </row>
    <row r="40" hidden="1" outlineLevel="1" ht="14" customFormat="1" customHeight="1" s="838">
      <c r="A40" s="839" t="inlineStr">
        <is>
          <t xml:space="preserve">            d) Servicios profesionales</t>
        </is>
      </c>
      <c r="B40" s="851">
        <f>+B13*$L$28</f>
        <v/>
      </c>
      <c r="C40" s="851">
        <f>+C13*$L$28</f>
        <v/>
      </c>
      <c r="D40" s="851">
        <f>+D13*$L$28</f>
        <v/>
      </c>
      <c r="E40" s="851">
        <f>+E13*$L$28</f>
        <v/>
      </c>
      <c r="F40" s="851">
        <f>+F13*$L$28</f>
        <v/>
      </c>
      <c r="G40" s="851">
        <f>+G13*$L$28</f>
        <v/>
      </c>
      <c r="H40" s="851">
        <f>+H13*$L$28</f>
        <v/>
      </c>
      <c r="I40" s="851">
        <f>+I13*$L$28</f>
        <v/>
      </c>
      <c r="J40" s="851">
        <f>+J13*$L$28</f>
        <v/>
      </c>
      <c r="K40" s="851">
        <f>+K13*$L$28</f>
        <v/>
      </c>
      <c r="L40" s="851">
        <f>+L13*$L$28</f>
        <v/>
      </c>
      <c r="M40" s="851">
        <f>+M13*$L$28</f>
        <v/>
      </c>
      <c r="N40" s="851">
        <f>+N13*$L$28</f>
        <v/>
      </c>
      <c r="O40" s="851">
        <f>+O13*$L$28</f>
        <v/>
      </c>
      <c r="P40" s="851" t="n"/>
      <c r="Q40" s="851" t="n"/>
      <c r="R40" s="851" t="n"/>
      <c r="S40" s="851" t="n"/>
      <c r="T40" s="851" t="n"/>
      <c r="U40" s="851" t="n"/>
      <c r="V40" s="851" t="n"/>
      <c r="W40" s="851" t="n"/>
      <c r="X40" s="851" t="n"/>
      <c r="Y40" s="851" t="n"/>
      <c r="Z40" s="851" t="n"/>
      <c r="AA40" s="851" t="n"/>
      <c r="AB40" s="851">
        <f>+AB13*$L$28</f>
        <v/>
      </c>
      <c r="AC40" s="851">
        <f>+AC13*$L$28</f>
        <v/>
      </c>
      <c r="AD40" s="851">
        <f>+AD13*$L$28</f>
        <v/>
      </c>
      <c r="AE40" s="851">
        <f>+AE13*$L$28</f>
        <v/>
      </c>
      <c r="AF40" s="852">
        <f>IF(AE39&lt;&gt;0,AE39/AD39,0)</f>
        <v/>
      </c>
      <c r="AG40" s="681" t="n"/>
      <c r="AH40" s="681" t="n"/>
      <c r="AI40" s="681" t="n"/>
    </row>
    <row r="41" hidden="1" outlineLevel="1" ht="14" customFormat="1" customHeight="1" s="838">
      <c r="A41" s="845" t="inlineStr">
        <is>
          <t xml:space="preserve">            e) Comisiones bancarias</t>
        </is>
      </c>
      <c r="B41" s="848">
        <f>+B14*$L$28</f>
        <v/>
      </c>
      <c r="C41" s="848">
        <f>+C14*$L$28</f>
        <v/>
      </c>
      <c r="D41" s="848">
        <f>+D14*$L$28</f>
        <v/>
      </c>
      <c r="E41" s="848">
        <f>+E14*$L$28</f>
        <v/>
      </c>
      <c r="F41" s="848">
        <f>+F14*$L$28</f>
        <v/>
      </c>
      <c r="G41" s="848">
        <f>+G14*$L$28</f>
        <v/>
      </c>
      <c r="H41" s="848">
        <f>+H14*$L$28</f>
        <v/>
      </c>
      <c r="I41" s="848">
        <f>+I14*$L$28</f>
        <v/>
      </c>
      <c r="J41" s="848">
        <f>+J14*$L$28</f>
        <v/>
      </c>
      <c r="K41" s="848">
        <f>+K14*$L$28</f>
        <v/>
      </c>
      <c r="L41" s="848">
        <f>+L14*$L$28</f>
        <v/>
      </c>
      <c r="M41" s="848">
        <f>+M14*$L$28</f>
        <v/>
      </c>
      <c r="N41" s="848">
        <f>+N14*$L$28</f>
        <v/>
      </c>
      <c r="O41" s="848">
        <f>+O14*$L$28</f>
        <v/>
      </c>
      <c r="P41" s="848" t="n"/>
      <c r="Q41" s="848" t="n"/>
      <c r="R41" s="848" t="n"/>
      <c r="S41" s="848" t="n"/>
      <c r="T41" s="848" t="n"/>
      <c r="U41" s="848" t="n"/>
      <c r="V41" s="848" t="n"/>
      <c r="W41" s="848" t="n"/>
      <c r="X41" s="848" t="n"/>
      <c r="Y41" s="848" t="n"/>
      <c r="Z41" s="848" t="n"/>
      <c r="AA41" s="848" t="n"/>
      <c r="AB41" s="848">
        <f>+AB14*$L$28</f>
        <v/>
      </c>
      <c r="AC41" s="848">
        <f>+AC14*$L$28</f>
        <v/>
      </c>
      <c r="AD41" s="848">
        <f>+AD14*$L$28</f>
        <v/>
      </c>
      <c r="AE41" s="848">
        <f>+AE14*$L$28</f>
        <v/>
      </c>
      <c r="AF41" s="853">
        <f>IF(AE40&lt;&gt;0,AE40/AD40,0)</f>
        <v/>
      </c>
      <c r="AG41" s="686" t="n"/>
      <c r="AH41" s="686" t="n"/>
      <c r="AI41" s="686" t="n"/>
    </row>
    <row r="42" hidden="1" outlineLevel="1" ht="14" customFormat="1" customHeight="1" s="838">
      <c r="A42" s="839" t="inlineStr">
        <is>
          <t xml:space="preserve">            k) Viajes</t>
        </is>
      </c>
      <c r="B42" s="851">
        <f>+B15*$L$28</f>
        <v/>
      </c>
      <c r="C42" s="851">
        <f>+C15*$L$28</f>
        <v/>
      </c>
      <c r="D42" s="851">
        <f>+D15*$L$28</f>
        <v/>
      </c>
      <c r="E42" s="851">
        <f>+E15*$L$28</f>
        <v/>
      </c>
      <c r="F42" s="851">
        <f>+F15*$L$28</f>
        <v/>
      </c>
      <c r="G42" s="851">
        <f>+G15*$L$28</f>
        <v/>
      </c>
      <c r="H42" s="851">
        <f>+H15*$L$28</f>
        <v/>
      </c>
      <c r="I42" s="851">
        <f>+I15*$L$28</f>
        <v/>
      </c>
      <c r="J42" s="851">
        <f>+J15*$L$28</f>
        <v/>
      </c>
      <c r="K42" s="851">
        <f>+K15*$L$28</f>
        <v/>
      </c>
      <c r="L42" s="851">
        <f>+L15*$L$28</f>
        <v/>
      </c>
      <c r="M42" s="851">
        <f>+M15*$L$28</f>
        <v/>
      </c>
      <c r="N42" s="851">
        <f>+N15*$L$28</f>
        <v/>
      </c>
      <c r="O42" s="851">
        <f>+O15*$L$28</f>
        <v/>
      </c>
      <c r="P42" s="851" t="n"/>
      <c r="Q42" s="851" t="n"/>
      <c r="R42" s="851" t="n"/>
      <c r="S42" s="851" t="n"/>
      <c r="T42" s="851" t="n"/>
      <c r="U42" s="851" t="n"/>
      <c r="V42" s="851" t="n"/>
      <c r="W42" s="851" t="n"/>
      <c r="X42" s="851" t="n"/>
      <c r="Y42" s="851" t="n"/>
      <c r="Z42" s="851" t="n"/>
      <c r="AA42" s="851" t="n"/>
      <c r="AB42" s="851">
        <f>+AB15*$L$28</f>
        <v/>
      </c>
      <c r="AC42" s="851">
        <f>+AC15*$L$28</f>
        <v/>
      </c>
      <c r="AD42" s="851">
        <f>+AD15*$L$28</f>
        <v/>
      </c>
      <c r="AE42" s="851">
        <f>+AE15*$L$28</f>
        <v/>
      </c>
      <c r="AF42" s="852">
        <f>IF(AE41&lt;&gt;0,AE41/AD41,0)</f>
        <v/>
      </c>
      <c r="AG42" s="681" t="n"/>
      <c r="AH42" s="681" t="n"/>
      <c r="AI42" s="681" t="n"/>
    </row>
    <row r="43" hidden="1" outlineLevel="1" ht="14" customFormat="1" customHeight="1" s="838">
      <c r="A43" s="845" t="inlineStr">
        <is>
          <t xml:space="preserve">            l) Otros pagos de servicios varios y compras varias</t>
        </is>
      </c>
      <c r="B43" s="848">
        <f>+B16*$L$28</f>
        <v/>
      </c>
      <c r="C43" s="848">
        <f>+C16*$L$28</f>
        <v/>
      </c>
      <c r="D43" s="848">
        <f>+D16*$L$28</f>
        <v/>
      </c>
      <c r="E43" s="848">
        <f>+E16*$L$28</f>
        <v/>
      </c>
      <c r="F43" s="848">
        <f>+F16*$L$28</f>
        <v/>
      </c>
      <c r="G43" s="848">
        <f>+G16*$L$28</f>
        <v/>
      </c>
      <c r="H43" s="848">
        <f>+H16*$L$28</f>
        <v/>
      </c>
      <c r="I43" s="848">
        <f>+I16*$L$28</f>
        <v/>
      </c>
      <c r="J43" s="848">
        <f>+J16*$L$28</f>
        <v/>
      </c>
      <c r="K43" s="848">
        <f>+K16*$L$28</f>
        <v/>
      </c>
      <c r="L43" s="848">
        <f>+L16*$L$28</f>
        <v/>
      </c>
      <c r="M43" s="848">
        <f>+M16*$L$28</f>
        <v/>
      </c>
      <c r="N43" s="848">
        <f>+N16*$L$28</f>
        <v/>
      </c>
      <c r="O43" s="848">
        <f>+O16*$L$28</f>
        <v/>
      </c>
      <c r="P43" s="848" t="n"/>
      <c r="Q43" s="848" t="n"/>
      <c r="R43" s="848" t="n"/>
      <c r="S43" s="848" t="n"/>
      <c r="T43" s="848" t="n"/>
      <c r="U43" s="848" t="n"/>
      <c r="V43" s="848" t="n"/>
      <c r="W43" s="848" t="n"/>
      <c r="X43" s="848" t="n"/>
      <c r="Y43" s="848" t="n"/>
      <c r="Z43" s="848" t="n"/>
      <c r="AA43" s="848" t="n"/>
      <c r="AB43" s="848">
        <f>+AB16*$L$28</f>
        <v/>
      </c>
      <c r="AC43" s="848">
        <f>+AC16*$L$28</f>
        <v/>
      </c>
      <c r="AD43" s="848">
        <f>+AD16*$L$28</f>
        <v/>
      </c>
      <c r="AE43" s="848">
        <f>+AE16*$L$28</f>
        <v/>
      </c>
      <c r="AF43" s="853">
        <f>IF(AE42&lt;&gt;0,AE42/AD42,0)</f>
        <v/>
      </c>
      <c r="AG43" s="686" t="n"/>
      <c r="AH43" s="686" t="n"/>
      <c r="AI43" s="686" t="n"/>
    </row>
    <row r="44" hidden="1" outlineLevel="1" ht="14" customFormat="1" customHeight="1" s="838">
      <c r="A44" s="839" t="inlineStr">
        <is>
          <t xml:space="preserve">            d) Compra de equipos</t>
        </is>
      </c>
      <c r="B44" s="851">
        <f>+B17*$L$28</f>
        <v/>
      </c>
      <c r="C44" s="851">
        <f>+C17*$L$28</f>
        <v/>
      </c>
      <c r="D44" s="851">
        <f>+D17*$L$28</f>
        <v/>
      </c>
      <c r="E44" s="851">
        <f>+E17*$L$28</f>
        <v/>
      </c>
      <c r="F44" s="851">
        <f>+F17*$L$28</f>
        <v/>
      </c>
      <c r="G44" s="851">
        <f>+G17*$L$28</f>
        <v/>
      </c>
      <c r="H44" s="851">
        <f>+H17*$L$28</f>
        <v/>
      </c>
      <c r="I44" s="851">
        <f>+I17*$L$28</f>
        <v/>
      </c>
      <c r="J44" s="851">
        <f>+J17*$L$28</f>
        <v/>
      </c>
      <c r="K44" s="851">
        <f>+K17*$L$28</f>
        <v/>
      </c>
      <c r="L44" s="851">
        <f>+L17*$L$28</f>
        <v/>
      </c>
      <c r="M44" s="851">
        <f>+M17*$L$28</f>
        <v/>
      </c>
      <c r="N44" s="851">
        <f>+N17*$L$28</f>
        <v/>
      </c>
      <c r="O44" s="851">
        <f>+O17*$L$28</f>
        <v/>
      </c>
      <c r="P44" s="851" t="n"/>
      <c r="Q44" s="851" t="n"/>
      <c r="R44" s="851" t="n"/>
      <c r="S44" s="851" t="n"/>
      <c r="T44" s="851" t="n"/>
      <c r="U44" s="851" t="n"/>
      <c r="V44" s="851" t="n"/>
      <c r="W44" s="851" t="n"/>
      <c r="X44" s="851" t="n"/>
      <c r="Y44" s="851" t="n"/>
      <c r="Z44" s="851" t="n"/>
      <c r="AA44" s="851" t="n"/>
      <c r="AB44" s="851">
        <f>+AB17*$L$28</f>
        <v/>
      </c>
      <c r="AC44" s="851">
        <f>+AC17*$L$28</f>
        <v/>
      </c>
      <c r="AD44" s="851">
        <f>+AD17*$L$28</f>
        <v/>
      </c>
      <c r="AE44" s="851">
        <f>+AE17*$L$28</f>
        <v/>
      </c>
      <c r="AF44" s="852">
        <f>IF(AE43&lt;&gt;0,AE43/AD43,0)</f>
        <v/>
      </c>
      <c r="AG44" s="681" t="n"/>
      <c r="AH44" s="681" t="n"/>
      <c r="AI44" s="681" t="n"/>
    </row>
    <row r="45" hidden="1" outlineLevel="1" ht="14" customFormat="1" customHeight="1" s="844">
      <c r="A45" s="845" t="inlineStr">
        <is>
          <t xml:space="preserve">            e) Compra de existencias</t>
        </is>
      </c>
      <c r="B45" s="848">
        <f>+B18*$L$28</f>
        <v/>
      </c>
      <c r="C45" s="848">
        <f>+C18*$L$28</f>
        <v/>
      </c>
      <c r="D45" s="848">
        <f>+D18*$L$28</f>
        <v/>
      </c>
      <c r="E45" s="848">
        <f>+E18*$L$28</f>
        <v/>
      </c>
      <c r="F45" s="848">
        <f>+F18*$L$28</f>
        <v/>
      </c>
      <c r="G45" s="848">
        <f>+G18*$L$28</f>
        <v/>
      </c>
      <c r="H45" s="848">
        <f>+H18*$L$28</f>
        <v/>
      </c>
      <c r="I45" s="848">
        <f>+I18*$L$28</f>
        <v/>
      </c>
      <c r="J45" s="848">
        <f>+J18*$L$28</f>
        <v/>
      </c>
      <c r="K45" s="848">
        <f>+K18*$L$28</f>
        <v/>
      </c>
      <c r="L45" s="848">
        <f>+L18*$L$28</f>
        <v/>
      </c>
      <c r="M45" s="848">
        <f>+M18*$L$28</f>
        <v/>
      </c>
      <c r="N45" s="848">
        <f>+N18*$L$28</f>
        <v/>
      </c>
      <c r="O45" s="848">
        <f>+O18*$L$28</f>
        <v/>
      </c>
      <c r="P45" s="848" t="n"/>
      <c r="Q45" s="848" t="n"/>
      <c r="R45" s="848" t="n"/>
      <c r="S45" s="848" t="n"/>
      <c r="T45" s="848" t="n"/>
      <c r="U45" s="848" t="n"/>
      <c r="V45" s="848" t="n"/>
      <c r="W45" s="848" t="n"/>
      <c r="X45" s="848" t="n"/>
      <c r="Y45" s="848" t="n"/>
      <c r="Z45" s="848" t="n"/>
      <c r="AA45" s="848" t="n"/>
      <c r="AB45" s="848">
        <f>+AB18*$L$28</f>
        <v/>
      </c>
      <c r="AC45" s="848">
        <f>+AC18*$L$28</f>
        <v/>
      </c>
      <c r="AD45" s="848">
        <f>+AD18*$L$28</f>
        <v/>
      </c>
      <c r="AE45" s="848">
        <f>+AE18*$L$28</f>
        <v/>
      </c>
      <c r="AF45" s="853">
        <f>IF(AE44&lt;&gt;0,AE44/AD44,0)</f>
        <v/>
      </c>
      <c r="AG45" s="686" t="n"/>
      <c r="AH45" s="686" t="n"/>
      <c r="AI45" s="686" t="n"/>
    </row>
    <row r="46" hidden="1" outlineLevel="1" ht="14" customFormat="1" customHeight="1" s="844">
      <c r="A46" s="839" t="inlineStr">
        <is>
          <t xml:space="preserve">    E) FLUJOS DE EFECTIVO DE PROYECTOS (7 + 8)</t>
        </is>
      </c>
      <c r="B46" s="851">
        <f>+B19*$L$28</f>
        <v/>
      </c>
      <c r="C46" s="851">
        <f>+C19*$L$28</f>
        <v/>
      </c>
      <c r="D46" s="851">
        <f>+D19*$L$28</f>
        <v/>
      </c>
      <c r="E46" s="851">
        <f>+E19*$L$28</f>
        <v/>
      </c>
      <c r="F46" s="851">
        <f>+F19*$L$28</f>
        <v/>
      </c>
      <c r="G46" s="851">
        <f>+G19*$L$28</f>
        <v/>
      </c>
      <c r="H46" s="851">
        <f>+H19*$L$28</f>
        <v/>
      </c>
      <c r="I46" s="851">
        <f>+I19*$L$28</f>
        <v/>
      </c>
      <c r="J46" s="851">
        <f>+J19*$L$28</f>
        <v/>
      </c>
      <c r="K46" s="851">
        <f>+K19*$L$28</f>
        <v/>
      </c>
      <c r="L46" s="851">
        <f>+L19*$L$28</f>
        <v/>
      </c>
      <c r="M46" s="851">
        <f>+M19*$L$28</f>
        <v/>
      </c>
      <c r="N46" s="851">
        <f>+N19*$L$28</f>
        <v/>
      </c>
      <c r="O46" s="851">
        <f>+O19*$L$28</f>
        <v/>
      </c>
      <c r="P46" s="851" t="n"/>
      <c r="Q46" s="851" t="n"/>
      <c r="R46" s="851" t="n"/>
      <c r="S46" s="851" t="n"/>
      <c r="T46" s="851" t="n"/>
      <c r="U46" s="851" t="n"/>
      <c r="V46" s="851" t="n"/>
      <c r="W46" s="851" t="n"/>
      <c r="X46" s="851" t="n"/>
      <c r="Y46" s="851" t="n"/>
      <c r="Z46" s="851" t="n"/>
      <c r="AA46" s="851" t="n"/>
      <c r="AB46" s="851">
        <f>+AB19*$L$28</f>
        <v/>
      </c>
      <c r="AC46" s="851">
        <f>+AC19*$L$28</f>
        <v/>
      </c>
      <c r="AD46" s="851">
        <f>+AD19*$L$28</f>
        <v/>
      </c>
      <c r="AE46" s="851">
        <f>+AE19*$L$28</f>
        <v/>
      </c>
      <c r="AF46" s="852">
        <f>IF(AE45&lt;&gt;0,AE45/AD45,0)</f>
        <v/>
      </c>
      <c r="AG46" s="681" t="n"/>
      <c r="AH46" s="681" t="n"/>
      <c r="AI46" s="681" t="n"/>
    </row>
    <row r="47" hidden="1" outlineLevel="1" ht="14" customFormat="1" customHeight="1" s="838">
      <c r="A47" s="845" t="inlineStr">
        <is>
          <t xml:space="preserve">    9. TRASPASOS</t>
        </is>
      </c>
      <c r="B47" s="848">
        <f>+B20*$L$28</f>
        <v/>
      </c>
      <c r="C47" s="848">
        <f>+C20*$L$28</f>
        <v/>
      </c>
      <c r="D47" s="848">
        <f>+D20*$L$28</f>
        <v/>
      </c>
      <c r="E47" s="848">
        <f>+E20*$L$28</f>
        <v/>
      </c>
      <c r="F47" s="848">
        <f>+F20*$L$28</f>
        <v/>
      </c>
      <c r="G47" s="848">
        <f>+G20*$L$28</f>
        <v/>
      </c>
      <c r="H47" s="848">
        <f>+H20*$L$28</f>
        <v/>
      </c>
      <c r="I47" s="848">
        <f>+I20*$L$28</f>
        <v/>
      </c>
      <c r="J47" s="848">
        <f>+J20*$L$28</f>
        <v/>
      </c>
      <c r="K47" s="848">
        <f>+K20*$L$28</f>
        <v/>
      </c>
      <c r="L47" s="848">
        <f>+L20*$L$28</f>
        <v/>
      </c>
      <c r="M47" s="848">
        <f>+M20*$L$28</f>
        <v/>
      </c>
      <c r="N47" s="848">
        <f>+N20*$L$28</f>
        <v/>
      </c>
      <c r="O47" s="848">
        <f>+O20*$L$28</f>
        <v/>
      </c>
      <c r="P47" s="848" t="n"/>
      <c r="Q47" s="848" t="n"/>
      <c r="R47" s="848" t="n"/>
      <c r="S47" s="848" t="n"/>
      <c r="T47" s="848" t="n"/>
      <c r="U47" s="848" t="n"/>
      <c r="V47" s="848" t="n"/>
      <c r="W47" s="848" t="n"/>
      <c r="X47" s="848" t="n"/>
      <c r="Y47" s="848" t="n"/>
      <c r="Z47" s="848" t="n"/>
      <c r="AA47" s="848" t="n"/>
      <c r="AB47" s="848">
        <f>+AB20*$L$28</f>
        <v/>
      </c>
      <c r="AC47" s="848">
        <f>+AC20*$L$28</f>
        <v/>
      </c>
      <c r="AD47" s="848">
        <f>+AD20*$L$28</f>
        <v/>
      </c>
      <c r="AE47" s="848">
        <f>+AE20*$L$28</f>
        <v/>
      </c>
      <c r="AF47" s="853">
        <f>IF(AE46&lt;&gt;0,AE46/AD46,0)</f>
        <v/>
      </c>
      <c r="AG47" s="686" t="n"/>
      <c r="AH47" s="686" t="n"/>
      <c r="AI47" s="686" t="n"/>
    </row>
    <row r="48" hidden="1" outlineLevel="1" ht="14" customFormat="1" customHeight="1" s="838">
      <c r="A48" s="839" t="inlineStr">
        <is>
          <t xml:space="preserve">            a) Entradas (+)</t>
        </is>
      </c>
      <c r="B48" s="851">
        <f>+B21*$L$28</f>
        <v/>
      </c>
      <c r="C48" s="851">
        <f>+C21*$L$28</f>
        <v/>
      </c>
      <c r="D48" s="851">
        <f>+D21*$L$28</f>
        <v/>
      </c>
      <c r="E48" s="851">
        <f>+E21*$L$28</f>
        <v/>
      </c>
      <c r="F48" s="851">
        <f>+F21*$L$28</f>
        <v/>
      </c>
      <c r="G48" s="851">
        <f>+G21*$L$28</f>
        <v/>
      </c>
      <c r="H48" s="851">
        <f>+H21*$L$28</f>
        <v/>
      </c>
      <c r="I48" s="851">
        <f>+I21*$L$28</f>
        <v/>
      </c>
      <c r="J48" s="851">
        <f>+J21*$L$28</f>
        <v/>
      </c>
      <c r="K48" s="851">
        <f>+K21*$L$28</f>
        <v/>
      </c>
      <c r="L48" s="851">
        <f>+L21*$L$28</f>
        <v/>
      </c>
      <c r="M48" s="851">
        <f>+M21*$L$28</f>
        <v/>
      </c>
      <c r="N48" s="851">
        <f>+N21*$L$28</f>
        <v/>
      </c>
      <c r="O48" s="851">
        <f>+O21*$L$28</f>
        <v/>
      </c>
      <c r="P48" s="851" t="n"/>
      <c r="Q48" s="851" t="n"/>
      <c r="R48" s="851" t="n"/>
      <c r="S48" s="851" t="n"/>
      <c r="T48" s="851" t="n"/>
      <c r="U48" s="851" t="n"/>
      <c r="V48" s="851" t="n"/>
      <c r="W48" s="851" t="n"/>
      <c r="X48" s="851" t="n"/>
      <c r="Y48" s="851" t="n"/>
      <c r="Z48" s="851" t="n"/>
      <c r="AA48" s="851" t="n"/>
      <c r="AB48" s="851">
        <f>+AB21*$L$28</f>
        <v/>
      </c>
      <c r="AC48" s="851">
        <f>+AC21*$L$28</f>
        <v/>
      </c>
      <c r="AD48" s="851">
        <f>+AD21*$L$28</f>
        <v/>
      </c>
      <c r="AE48" s="851">
        <f>+AE21*$L$28</f>
        <v/>
      </c>
      <c r="AF48" s="852">
        <f>IF(AE47&lt;&gt;0,AE47/AD47,0)</f>
        <v/>
      </c>
      <c r="AG48" s="681" t="n"/>
      <c r="AH48" s="681" t="n"/>
      <c r="AI48" s="681" t="n"/>
    </row>
    <row r="49" hidden="1" outlineLevel="1" ht="14" customFormat="1" customHeight="1" s="844">
      <c r="A49" s="845" t="inlineStr">
        <is>
          <t xml:space="preserve">            b) Salidas (-)</t>
        </is>
      </c>
      <c r="B49" s="848">
        <f>+B22*$L$28</f>
        <v/>
      </c>
      <c r="C49" s="848">
        <f>+C22*$L$28</f>
        <v/>
      </c>
      <c r="D49" s="848">
        <f>+D22*$L$28</f>
        <v/>
      </c>
      <c r="E49" s="848">
        <f>+E22*$L$28</f>
        <v/>
      </c>
      <c r="F49" s="848">
        <f>+F22*$L$28</f>
        <v/>
      </c>
      <c r="G49" s="848">
        <f>+G22*$L$28</f>
        <v/>
      </c>
      <c r="H49" s="848">
        <f>+H22*$L$28</f>
        <v/>
      </c>
      <c r="I49" s="848">
        <f>+I22*$L$28</f>
        <v/>
      </c>
      <c r="J49" s="848">
        <f>+J22*$L$28</f>
        <v/>
      </c>
      <c r="K49" s="848">
        <f>+K22*$L$28</f>
        <v/>
      </c>
      <c r="L49" s="848">
        <f>+L22*$L$28</f>
        <v/>
      </c>
      <c r="M49" s="848">
        <f>+M22*$L$28</f>
        <v/>
      </c>
      <c r="N49" s="848">
        <f>+N22*$L$28</f>
        <v/>
      </c>
      <c r="O49" s="848">
        <f>+O22*$L$28</f>
        <v/>
      </c>
      <c r="P49" s="848" t="n"/>
      <c r="Q49" s="848" t="n"/>
      <c r="R49" s="848" t="n"/>
      <c r="S49" s="848" t="n"/>
      <c r="T49" s="848" t="n"/>
      <c r="U49" s="848" t="n"/>
      <c r="V49" s="848" t="n"/>
      <c r="W49" s="848" t="n"/>
      <c r="X49" s="848" t="n"/>
      <c r="Y49" s="848" t="n"/>
      <c r="Z49" s="848" t="n"/>
      <c r="AA49" s="848" t="n"/>
      <c r="AB49" s="848">
        <f>+AB22*$L$28</f>
        <v/>
      </c>
      <c r="AC49" s="848">
        <f>+AC22*$L$28</f>
        <v/>
      </c>
      <c r="AD49" s="848">
        <f>+AD22*$L$28</f>
        <v/>
      </c>
      <c r="AE49" s="848">
        <f>+AE22*$L$28</f>
        <v/>
      </c>
      <c r="AF49" s="853">
        <f>IF(AE48&lt;&gt;0,AE48/AD48,0)</f>
        <v/>
      </c>
      <c r="AG49" s="686" t="n"/>
      <c r="AH49" s="686" t="n"/>
      <c r="AI49" s="686" t="n"/>
    </row>
    <row r="50" hidden="1" outlineLevel="1" ht="14" customHeight="1" s="549">
      <c r="A50" s="839" t="inlineStr">
        <is>
          <t xml:space="preserve">    G) TRASPASOS (a + b)</t>
        </is>
      </c>
      <c r="B50" s="851">
        <f>+B23*$L$28</f>
        <v/>
      </c>
      <c r="C50" s="851">
        <f>+C23*$L$28</f>
        <v/>
      </c>
      <c r="D50" s="851">
        <f>+D23*$L$28</f>
        <v/>
      </c>
      <c r="E50" s="851">
        <f>+E23*$L$28</f>
        <v/>
      </c>
      <c r="F50" s="851">
        <f>+F23*$L$28</f>
        <v/>
      </c>
      <c r="G50" s="851">
        <f>+G23*$L$28</f>
        <v/>
      </c>
      <c r="H50" s="851">
        <f>+H23*$L$28</f>
        <v/>
      </c>
      <c r="I50" s="851">
        <f>+I23*$L$28</f>
        <v/>
      </c>
      <c r="J50" s="851">
        <f>+J23*$L$28</f>
        <v/>
      </c>
      <c r="K50" s="851">
        <f>+K23*$L$28</f>
        <v/>
      </c>
      <c r="L50" s="851">
        <f>+L23*$L$28</f>
        <v/>
      </c>
      <c r="M50" s="851">
        <f>+M23*$L$28</f>
        <v/>
      </c>
      <c r="N50" s="851">
        <f>+N23*$L$28</f>
        <v/>
      </c>
      <c r="O50" s="851">
        <f>+O23*$L$28</f>
        <v/>
      </c>
      <c r="P50" s="851" t="n"/>
      <c r="Q50" s="851" t="n"/>
      <c r="R50" s="851" t="n"/>
      <c r="S50" s="851" t="n"/>
      <c r="T50" s="851" t="n"/>
      <c r="U50" s="851" t="n"/>
      <c r="V50" s="851" t="n"/>
      <c r="W50" s="851" t="n"/>
      <c r="X50" s="851" t="n"/>
      <c r="Y50" s="851" t="n"/>
      <c r="Z50" s="851" t="n"/>
      <c r="AA50" s="851" t="n"/>
      <c r="AB50" s="851">
        <f>+AB23*$L$28</f>
        <v/>
      </c>
      <c r="AC50" s="851">
        <f>+AC23*$L$28</f>
        <v/>
      </c>
      <c r="AD50" s="851">
        <f>+AD23*$L$28</f>
        <v/>
      </c>
      <c r="AE50" s="851">
        <f>+AE23*$L$28</f>
        <v/>
      </c>
      <c r="AF50" s="852">
        <f>IF(AE49&lt;&gt;0,AE49/AD49,0)</f>
        <v/>
      </c>
      <c r="AG50" s="681" t="n"/>
      <c r="AH50" s="681" t="n"/>
      <c r="AI50" s="681" t="n"/>
    </row>
    <row r="51" hidden="1" outlineLevel="1" ht="12" customFormat="1" customHeight="1" s="844"/>
    <row r="52" collapsed="1" ht="14" customHeight="1" s="549">
      <c r="A52" s="845" t="inlineStr">
        <is>
          <t>SALDO BANCARIO, cuenta restringida (ejecución proyecto)</t>
        </is>
      </c>
      <c r="B52" s="848">
        <f>+B25*$L$28</f>
        <v/>
      </c>
      <c r="C52" s="848">
        <f>+C25*$L$28</f>
        <v/>
      </c>
      <c r="D52" s="848">
        <f>+D25*$L$28</f>
        <v/>
      </c>
      <c r="E52" s="848">
        <f>+E25*$L$28</f>
        <v/>
      </c>
      <c r="F52" s="848">
        <f>+F25*$L$28</f>
        <v/>
      </c>
      <c r="G52" s="848">
        <f>+G25*$L$28</f>
        <v/>
      </c>
      <c r="H52" s="848">
        <f>+H25*$L$28</f>
        <v/>
      </c>
      <c r="I52" s="848">
        <f>+I25*$L$28</f>
        <v/>
      </c>
      <c r="J52" s="848">
        <f>+J25*$L$28</f>
        <v/>
      </c>
      <c r="K52" s="848">
        <f>+K25*$L$28</f>
        <v/>
      </c>
      <c r="L52" s="848">
        <f>+L25*$L$28</f>
        <v/>
      </c>
      <c r="M52" s="848">
        <f>+M25*$L$28</f>
        <v/>
      </c>
      <c r="N52" s="848">
        <f>+N25*$L$28</f>
        <v/>
      </c>
      <c r="O52" s="848">
        <f>+O25*$L$28</f>
        <v/>
      </c>
      <c r="P52" s="848" t="n"/>
      <c r="Q52" s="848" t="n"/>
      <c r="R52" s="848" t="n"/>
      <c r="S52" s="848" t="n"/>
      <c r="T52" s="848" t="n"/>
      <c r="U52" s="848" t="n"/>
      <c r="V52" s="848" t="n"/>
      <c r="W52" s="848" t="n"/>
      <c r="X52" s="848" t="n"/>
      <c r="Y52" s="848" t="n"/>
      <c r="Z52" s="848" t="n"/>
      <c r="AA52" s="848" t="n"/>
      <c r="AB52" s="848">
        <f>+AB25*$L$28</f>
        <v/>
      </c>
      <c r="AC52" s="848">
        <f>+AC25*$L$28</f>
        <v/>
      </c>
      <c r="AD52" s="848">
        <f>+AD25*$L$28</f>
        <v/>
      </c>
      <c r="AE52" s="848">
        <f>+AE25*$L$28</f>
        <v/>
      </c>
      <c r="AF52" s="853">
        <f>IF(AE51&lt;&gt;0,AE51/AD51,0)</f>
        <v/>
      </c>
      <c r="AG52" s="686" t="n"/>
      <c r="AH52" s="686" t="n"/>
      <c r="AI52" s="686" t="n"/>
    </row>
  </sheetData>
  <mergeCells count="8">
    <mergeCell ref="A5:A6"/>
    <mergeCell ref="C5:N5"/>
    <mergeCell ref="AD4:AF4"/>
    <mergeCell ref="A1:AI1"/>
    <mergeCell ref="C31:N31"/>
    <mergeCell ref="A31:A32"/>
    <mergeCell ref="P5:AA5"/>
    <mergeCell ref="AD30:AF30"/>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Luque Vera, Javiera Andrea</dc:creator>
  <dcterms:created xsi:type="dcterms:W3CDTF">2015-06-05T18:17:20Z</dcterms:created>
  <dcterms:modified xsi:type="dcterms:W3CDTF">2026-06-09T14:25:30Z</dcterms:modified>
  <cp:lastModifiedBy>Delgado Godoy, Agustín Ignacio</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0x0101003FB1096704038C4291635E3E4432BDE7</vt:lpwstr>
  </property>
  <property name="MediaServiceImageTags" fmtid="{D5CDD505-2E9C-101B-9397-08002B2CF9AE}" pid="3">
    <vt:lpwstr/>
  </property>
</Properties>
</file>